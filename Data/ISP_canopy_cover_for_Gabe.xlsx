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c1.sharepoint.com/teams/DNRP-WLRDScienceSectionPerformance/LSSG Files/Freshwater/Streams/Integrated Streams Program/Data/"/>
    </mc:Choice>
  </mc:AlternateContent>
  <xr:revisionPtr revIDLastSave="99" documentId="8_{8247872E-0831-4FF3-99C9-A697E68E82F3}" xr6:coauthVersionLast="47" xr6:coauthVersionMax="47" xr10:uidLastSave="{8B00696E-CA3F-403D-9ED2-00784305A75B}"/>
  <bookViews>
    <workbookView xWindow="-120" yWindow="-120" windowWidth="29040" windowHeight="17520" tabRatio="507" xr2:uid="{4EE1E51C-9629-4817-B892-A1F9F9DF5D58}"/>
  </bookViews>
  <sheets>
    <sheet name="data" sheetId="2" r:id="rId1"/>
    <sheet name="BIBIscores" sheetId="5" r:id="rId2"/>
    <sheet name="Sheet3" sheetId="3" r:id="rId3"/>
    <sheet name="Sheet4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3" l="1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</calcChain>
</file>

<file path=xl/sharedStrings.xml><?xml version="1.0" encoding="utf-8"?>
<sst xmlns="http://schemas.openxmlformats.org/spreadsheetml/2006/main" count="2551" uniqueCount="582">
  <si>
    <t>major1</t>
  </si>
  <si>
    <t>major2</t>
  </si>
  <si>
    <t>08EAS_bug2</t>
  </si>
  <si>
    <t>major3</t>
  </si>
  <si>
    <t>major4</t>
  </si>
  <si>
    <t>major5</t>
  </si>
  <si>
    <t>major6</t>
  </si>
  <si>
    <t>major7</t>
  </si>
  <si>
    <t>major8</t>
  </si>
  <si>
    <t>major9</t>
  </si>
  <si>
    <t>major10</t>
  </si>
  <si>
    <t>major11</t>
  </si>
  <si>
    <t>08EAS_bug3</t>
  </si>
  <si>
    <t>08WES1340</t>
  </si>
  <si>
    <t>07PAT_bug2</t>
  </si>
  <si>
    <t>PIVE1895</t>
  </si>
  <si>
    <t>08PIP_bug1</t>
  </si>
  <si>
    <t>07PAT_bug1</t>
  </si>
  <si>
    <t>07GRN077319</t>
  </si>
  <si>
    <t>08EAS_bug4</t>
  </si>
  <si>
    <t>Miller_Club</t>
  </si>
  <si>
    <t>TMMA3168</t>
  </si>
  <si>
    <t>07CHR_bug1</t>
  </si>
  <si>
    <t>CoalLow_21</t>
  </si>
  <si>
    <t>LF04</t>
  </si>
  <si>
    <t>09COV1756</t>
  </si>
  <si>
    <t>08CED_bug2</t>
  </si>
  <si>
    <t>28A</t>
  </si>
  <si>
    <t>08LAK3628</t>
  </si>
  <si>
    <t>08NOR1362</t>
  </si>
  <si>
    <t>08LAK_bug2</t>
  </si>
  <si>
    <t>08LAK3879</t>
  </si>
  <si>
    <t>09JEN_bug1</t>
  </si>
  <si>
    <t>ZAK</t>
  </si>
  <si>
    <t>VashTal</t>
  </si>
  <si>
    <t>VashShing</t>
  </si>
  <si>
    <t>VashChris</t>
  </si>
  <si>
    <t>09SOO1209</t>
  </si>
  <si>
    <t>09LOW0751</t>
  </si>
  <si>
    <t>08WES0903</t>
  </si>
  <si>
    <t>08CED_bug3</t>
  </si>
  <si>
    <t>08CED2518</t>
  </si>
  <si>
    <t>08CED4192</t>
  </si>
  <si>
    <t>08EAS1964</t>
  </si>
  <si>
    <t>08LAK3627</t>
  </si>
  <si>
    <t>08LIT_bug1</t>
  </si>
  <si>
    <t>08NOR2306</t>
  </si>
  <si>
    <t>VashGorsuch</t>
  </si>
  <si>
    <t>ISP_COMID</t>
  </si>
  <si>
    <t>Stream Name </t>
  </si>
  <si>
    <t>Complete Stream Name</t>
  </si>
  <si>
    <t>WRIA </t>
  </si>
  <si>
    <t>WQI_Locator </t>
  </si>
  <si>
    <t>WQI_Lat </t>
  </si>
  <si>
    <t>WQI_Lon </t>
  </si>
  <si>
    <t>BIBI_sitecode_PSSB</t>
  </si>
  <si>
    <t>new BIBI site? (for cost estimates)</t>
  </si>
  <si>
    <t>Lat_BIBI</t>
  </si>
  <si>
    <t>long_BIBI</t>
  </si>
  <si>
    <t>BIBI_Locator_long</t>
  </si>
  <si>
    <t>original BIBI site that may be dropped in 3 years</t>
  </si>
  <si>
    <t>KM notes</t>
  </si>
  <si>
    <t>status as of 10/6/25</t>
  </si>
  <si>
    <t>Bugs sampled in 2024</t>
  </si>
  <si>
    <t>in SM? need more info?</t>
  </si>
  <si>
    <t>Gage_Locator </t>
  </si>
  <si>
    <t>Gage_Lat </t>
  </si>
  <si>
    <t>Gage_Lon </t>
  </si>
  <si>
    <t>proposed gage location (lat)</t>
  </si>
  <si>
    <t>proposed gage location (lon)</t>
  </si>
  <si>
    <t>Notes</t>
  </si>
  <si>
    <t>2024 BIBI score</t>
  </si>
  <si>
    <t>on Perry's list?</t>
  </si>
  <si>
    <t>ISP_BOISE</t>
  </si>
  <si>
    <t>Boise</t>
  </si>
  <si>
    <t>Boise Creek</t>
  </si>
  <si>
    <t>BSE_1MUDMTNRD</t>
  </si>
  <si>
    <t>10BSE_bug1</t>
  </si>
  <si>
    <t>new/may drop original</t>
  </si>
  <si>
    <t>New site established upstream of bridge (so to capture stream before it splits downstream of bridge); original site BSE_1_MudMtnRd</t>
  </si>
  <si>
    <t>Kate left message with landowner, but adult salmon were there before we could sample</t>
  </si>
  <si>
    <t>assuming site fine to sample in 2026</t>
  </si>
  <si>
    <t>no, salmon</t>
  </si>
  <si>
    <t>all set in SM</t>
  </si>
  <si>
    <t>USGS gage</t>
  </si>
  <si>
    <t>NA</t>
  </si>
  <si>
    <t>ISP_SOOS</t>
  </si>
  <si>
    <t>Soos</t>
  </si>
  <si>
    <t>Soos Creek</t>
  </si>
  <si>
    <t>A320</t>
  </si>
  <si>
    <t>09SOO_bug1</t>
  </si>
  <si>
    <t>09SOO_bug1 is US of 09SOO0943 and US of hatchery; establish new site (09SOO_bug1) closer to WQ site;  parcel 1521059006 is Hatchery Nartural Area owned by King County Parks - confirmed site is on KC property</t>
  </si>
  <si>
    <t>09SOO0943</t>
  </si>
  <si>
    <t>new site established</t>
  </si>
  <si>
    <t>original BIBI site sampled in 2024</t>
  </si>
  <si>
    <t>create new site entry if new site is feasible</t>
  </si>
  <si>
    <t>ISP_MILL</t>
  </si>
  <si>
    <t>Mill (Kent)</t>
  </si>
  <si>
    <t>Mill Creek (Kent)</t>
  </si>
  <si>
    <t>A318</t>
  </si>
  <si>
    <t>09BLA0716</t>
  </si>
  <si>
    <t>original</t>
  </si>
  <si>
    <t>location looks correct</t>
  </si>
  <si>
    <t>yes</t>
  </si>
  <si>
    <t>ISP_ROCK</t>
  </si>
  <si>
    <t>Rock</t>
  </si>
  <si>
    <t>Rock Creek</t>
  </si>
  <si>
    <t>USGS gage. Gage is 1.7 km upstream</t>
  </si>
  <si>
    <t>ISP_ISSAQUAH_DS</t>
  </si>
  <si>
    <t>Issaquah</t>
  </si>
  <si>
    <t>Issaquah Creek</t>
  </si>
  <si>
    <t>08ISS3877</t>
  </si>
  <si>
    <t>08ISS3877; DS Isaaquah site</t>
  </si>
  <si>
    <t>ISP_BEAR</t>
  </si>
  <si>
    <t>Bear</t>
  </si>
  <si>
    <t>Bear Creek</t>
  </si>
  <si>
    <t>484A</t>
  </si>
  <si>
    <t>08BEA_bug1</t>
  </si>
  <si>
    <t>new</t>
  </si>
  <si>
    <t>NA_3 (08BEA_bug1)</t>
  </si>
  <si>
    <t>need to add info</t>
  </si>
  <si>
    <t>02A</t>
  </si>
  <si>
    <t>no</t>
  </si>
  <si>
    <t>ISP_CHERRY</t>
  </si>
  <si>
    <t>Cherry</t>
  </si>
  <si>
    <t>Cherry Creek</t>
  </si>
  <si>
    <t>CHERRY_1</t>
  </si>
  <si>
    <t>new site is DS of 07CHR234411 and DS of a confluence</t>
  </si>
  <si>
    <t>07CHR234411</t>
  </si>
  <si>
    <t>new owner allowing access</t>
  </si>
  <si>
    <t>owner OKed site</t>
  </si>
  <si>
    <t>05a</t>
  </si>
  <si>
    <t>ISP_COVINGTON</t>
  </si>
  <si>
    <t>Covington</t>
  </si>
  <si>
    <t>Covington Creek</t>
  </si>
  <si>
    <t>C320</t>
  </si>
  <si>
    <t>09COV_bug1</t>
  </si>
  <si>
    <t xml:space="preserve">E349 (KC roads, dropped), C320 (KC historic, dropped), Soos Creek and SR 58 Crossing Kent-Black Diamond R (ECY, dropped) </t>
  </si>
  <si>
    <t>09a</t>
  </si>
  <si>
    <t>ISP_RAVENSDALE</t>
  </si>
  <si>
    <t>Ravensdale</t>
  </si>
  <si>
    <t>Ravensdale Creek</t>
  </si>
  <si>
    <t>LSIN9 </t>
  </si>
  <si>
    <t>Stuck with original site; habitat DS near WQ site was too swampy;  09COV1756 is about ~1.5 km US of WQ site</t>
  </si>
  <si>
    <t>sampled original site</t>
  </si>
  <si>
    <t>All set if site remains 09COV1756; need to create new site if new site is established</t>
  </si>
  <si>
    <t>09d</t>
  </si>
  <si>
    <t>ISP_LAUGHING_JACOBS</t>
  </si>
  <si>
    <t>Laughing Jacobs</t>
  </si>
  <si>
    <t>Laughing Jacobs Creek</t>
  </si>
  <si>
    <t>B670</t>
  </si>
  <si>
    <t>15c</t>
  </si>
  <si>
    <t>ISP_EBRIGHT</t>
  </si>
  <si>
    <t>Ebright</t>
  </si>
  <si>
    <t>Ebright Creek</t>
  </si>
  <si>
    <t>A685</t>
  </si>
  <si>
    <t>15h</t>
  </si>
  <si>
    <t>ISP_ZACKUSE</t>
  </si>
  <si>
    <t>Zackuse</t>
  </si>
  <si>
    <t>Zackuse Creek</t>
  </si>
  <si>
    <t>A687</t>
  </si>
  <si>
    <t>ZAK (Sammamish)</t>
  </si>
  <si>
    <t>all good</t>
  </si>
  <si>
    <t>15i</t>
  </si>
  <si>
    <t>ISP_GORSUCH</t>
  </si>
  <si>
    <t>Gorsuch</t>
  </si>
  <si>
    <t>Gorsuch Creek</t>
  </si>
  <si>
    <t>VA65A</t>
  </si>
  <si>
    <t>Try to establish new BIBI site at same location as WQ site; work with KCEL to get permission; Older sites: PSS05520-001222 (ECY); P847 (KC roads, dropped),  P847 (Vashon Nature Center)</t>
  </si>
  <si>
    <t>got permission</t>
  </si>
  <si>
    <t>no, not yet established</t>
  </si>
  <si>
    <t>need to create new site in SM</t>
  </si>
  <si>
    <t>17B</t>
  </si>
  <si>
    <t>not currently telemetered</t>
  </si>
  <si>
    <t>ISP_FORBES</t>
  </si>
  <si>
    <t>Forbes</t>
  </si>
  <si>
    <t>Forbes Creek</t>
  </si>
  <si>
    <t>B456</t>
  </si>
  <si>
    <t>New site established; US of 08EAS2191 (that site impacted by beaver)</t>
  </si>
  <si>
    <t>08EAS2191</t>
  </si>
  <si>
    <t>20B</t>
  </si>
  <si>
    <t>Installed Jan. 2025</t>
  </si>
  <si>
    <t>ISP_GRIFFIN</t>
  </si>
  <si>
    <t>Griffin</t>
  </si>
  <si>
    <t>Griffin Creek</t>
  </si>
  <si>
    <t>GRIFFIN_1</t>
  </si>
  <si>
    <t>07GRN077319 (NOT moving site to 07GRN_bug1)</t>
  </si>
  <si>
    <t>21a</t>
  </si>
  <si>
    <t>ISP_CAREY</t>
  </si>
  <si>
    <t>Carey</t>
  </si>
  <si>
    <t>Carey Creek</t>
  </si>
  <si>
    <t>D650</t>
  </si>
  <si>
    <t>new site (decided original site on Carey - 08ISS4724 - too far and problematic due to private landowner)</t>
  </si>
  <si>
    <t>08ISS4724</t>
  </si>
  <si>
    <t>owner allowing access</t>
  </si>
  <si>
    <t>Kate played phone tag with Peter Weertman and gained access</t>
  </si>
  <si>
    <t>25i</t>
  </si>
  <si>
    <t>ISP_JENKINS</t>
  </si>
  <si>
    <t>Jenkins</t>
  </si>
  <si>
    <t>Jenkins Creek</t>
  </si>
  <si>
    <t>D320</t>
  </si>
  <si>
    <t>E216 (KC roads, dropped); D320 (historic, dropped); PSS05520-000404 (Ecology sampled in 2021)</t>
  </si>
  <si>
    <t>Kate reached Joyce Gonzales and got permission</t>
  </si>
  <si>
    <t>create new site entry if we get permission</t>
  </si>
  <si>
    <t>26a</t>
  </si>
  <si>
    <t>ISP_JUANITA</t>
  </si>
  <si>
    <t>Juanita</t>
  </si>
  <si>
    <t>Juanita Creek</t>
  </si>
  <si>
    <t>NA_2  (JuanitaKirk4  from 2022 City of Kirkland)</t>
  </si>
  <si>
    <t>Done</t>
  </si>
  <si>
    <t>create new site entry if we can locate new location</t>
  </si>
  <si>
    <t>27a</t>
  </si>
  <si>
    <t>Found JuanitaKirk4 BIBI coornidates from City of Kirkland just down stream of WQ</t>
  </si>
  <si>
    <t>ISP_JUDD</t>
  </si>
  <si>
    <t>Judd</t>
  </si>
  <si>
    <t>Judd Creek</t>
  </si>
  <si>
    <t>VA42A</t>
  </si>
  <si>
    <t>28a</t>
  </si>
  <si>
    <t>ISP_LITTLE_BEAR_DS</t>
  </si>
  <si>
    <t>Little Bear</t>
  </si>
  <si>
    <t>Little Bear Creek (downstream)</t>
  </si>
  <si>
    <t>new site estblished DS closer to WQ site (08LIT2585 roughly 450 m upstream of new site)</t>
  </si>
  <si>
    <t>08LIT2585</t>
  </si>
  <si>
    <t>done</t>
  </si>
  <si>
    <t>All set if site remains 08LIT2585; need to create new site if new site is established</t>
  </si>
  <si>
    <t>30AN</t>
  </si>
  <si>
    <t>ISP_LYON</t>
  </si>
  <si>
    <t>Lyon</t>
  </si>
  <si>
    <t>Lyon Creek</t>
  </si>
  <si>
    <t>08WES_bug1</t>
  </si>
  <si>
    <t>new site is ~7.5 km DS of original BIBI site (08WES0905), so we would not likely drop orginal site</t>
  </si>
  <si>
    <t>34a</t>
  </si>
  <si>
    <t>ISP_MCALEER</t>
  </si>
  <si>
    <t>McAleer</t>
  </si>
  <si>
    <t>McAleer Creek</t>
  </si>
  <si>
    <t>A432</t>
  </si>
  <si>
    <t>35c</t>
  </si>
  <si>
    <t>ISP_MAY</t>
  </si>
  <si>
    <t>May</t>
  </si>
  <si>
    <t>May Creek</t>
  </si>
  <si>
    <t>37a</t>
  </si>
  <si>
    <t>ISP_MILLER</t>
  </si>
  <si>
    <t>Miller</t>
  </si>
  <si>
    <t>Miller Creek</t>
  </si>
  <si>
    <t>MILLER</t>
  </si>
  <si>
    <t>Miller_Club site is US of Miller_Cove site and US of a confluence with Walker; may want to drop Miller_Cove after 3 years of scores are comparable</t>
  </si>
  <si>
    <t>Miller_Cove</t>
  </si>
  <si>
    <t>42a</t>
  </si>
  <si>
    <t>ISP_SHINGLEMILL</t>
  </si>
  <si>
    <t>Shinglemill</t>
  </si>
  <si>
    <t>Shinglemill Creek</t>
  </si>
  <si>
    <t>VA12A</t>
  </si>
  <si>
    <t xml:space="preserve">VashShing - double check location, may want to shift to downstream of road </t>
  </si>
  <si>
    <t>43a</t>
  </si>
  <si>
    <t>Ramy says gaging data are wonky; control is not great</t>
  </si>
  <si>
    <t>ISP_NORTH</t>
  </si>
  <si>
    <t>North</t>
  </si>
  <si>
    <t>North Creek</t>
  </si>
  <si>
    <t>D474</t>
  </si>
  <si>
    <t>45C</t>
  </si>
  <si>
    <t>ISP_LITTLE_SOOS</t>
  </si>
  <si>
    <t>Little Soos</t>
  </si>
  <si>
    <t>Little Soos Creek</t>
  </si>
  <si>
    <t>G320</t>
  </si>
  <si>
    <t>09SOO1209; Bug site is across road from WQI site - but probably not worth moving?</t>
  </si>
  <si>
    <t>54i</t>
  </si>
  <si>
    <t>ISP_THORNTON</t>
  </si>
  <si>
    <t>Thornton</t>
  </si>
  <si>
    <t>Thornton Creek</t>
  </si>
  <si>
    <t>0434.Thornton_95C_TMMA3168</t>
  </si>
  <si>
    <t>58A</t>
  </si>
  <si>
    <t>ISP_LEWIS</t>
  </si>
  <si>
    <t>Lewis</t>
  </si>
  <si>
    <t>Lewis Creek</t>
  </si>
  <si>
    <t>A617</t>
  </si>
  <si>
    <t>0.3 (Bellevue) LewisBelRM0.3</t>
  </si>
  <si>
    <t>Got permission from Issaquah and HOA. Note City of Issaquah sample bugs this year. NEED to talk with gagers about moving gage, due to culvert replacement construction</t>
  </si>
  <si>
    <t>63a</t>
  </si>
  <si>
    <t>ISP_IDYLWOOD</t>
  </si>
  <si>
    <t>Idylwood</t>
  </si>
  <si>
    <t>Idylwood Creek</t>
  </si>
  <si>
    <t>A620</t>
  </si>
  <si>
    <t>08LAK_bug1</t>
  </si>
  <si>
    <t>establish new bug sample site closer to WQ site and DS of 08LAK3121; if not given permission, we could continue sampling 08LAK3121</t>
  </si>
  <si>
    <t>08LAK3121</t>
  </si>
  <si>
    <t>NEED PERMISSION to sample at new proposed site; check with City of Redmond</t>
  </si>
  <si>
    <t>Kate emailed Jessica</t>
  </si>
  <si>
    <t>63C</t>
  </si>
  <si>
    <t>installed 9/15/2025</t>
  </si>
  <si>
    <t>ISP_TAHLEQUAH</t>
  </si>
  <si>
    <t xml:space="preserve">Tahlequah </t>
  </si>
  <si>
    <t>Tahlequah Creek</t>
  </si>
  <si>
    <t>VA37A</t>
  </si>
  <si>
    <t>is same location as 65A (sampled for CAO study and sampled by Vashon Nature Center)</t>
  </si>
  <si>
    <t>Vashon Nature Center knows we will sample each year</t>
  </si>
  <si>
    <t>create new site in PSSB</t>
  </si>
  <si>
    <t>65A</t>
  </si>
  <si>
    <t>Ramy says gage data are a little wonky</t>
  </si>
  <si>
    <t xml:space="preserve">no  </t>
  </si>
  <si>
    <t>ISP_PIPERS</t>
  </si>
  <si>
    <t>Pipers</t>
  </si>
  <si>
    <t>Pipers Creek</t>
  </si>
  <si>
    <t>KSHZ06</t>
  </si>
  <si>
    <t>PI01_WAM06600-063831_KTHA03.Pipers</t>
  </si>
  <si>
    <t>68a</t>
  </si>
  <si>
    <t>Gage does not include Venema Creek discharge</t>
  </si>
  <si>
    <t>ISP_COAL_BELLEVUE</t>
  </si>
  <si>
    <t>Coal (Lake WA)</t>
  </si>
  <si>
    <t>Coal Creek (Lake Wash.)</t>
  </si>
  <si>
    <t>COB_06C</t>
  </si>
  <si>
    <t>no - are we proposing Bellevue will cover costs? (they currently cover costs, correct?)</t>
  </si>
  <si>
    <t>ISP_LONGFELLOW</t>
  </si>
  <si>
    <t>Longfellow</t>
  </si>
  <si>
    <t>Longfellow Creek</t>
  </si>
  <si>
    <t>C370</t>
  </si>
  <si>
    <t>LF04_LF05_C370.Longfellow</t>
  </si>
  <si>
    <t>SPU_STA098A</t>
  </si>
  <si>
    <t>ISP_CHRISTENSEN</t>
  </si>
  <si>
    <t>Christensen</t>
  </si>
  <si>
    <t>Christensen Creek</t>
  </si>
  <si>
    <t>VA23A</t>
  </si>
  <si>
    <t>VA23</t>
  </si>
  <si>
    <t>initial gage installed April 2025 (Perry's sheet); some gaps in data (Nov and Dec are lost); Ramy is managing it- not fully up and runmning yet but plan is to have it telemetered</t>
  </si>
  <si>
    <t>ISP_FAIRWEATHER</t>
  </si>
  <si>
    <t>Fairweather</t>
  </si>
  <si>
    <t>Fairweather Creek</t>
  </si>
  <si>
    <t>08EAS_bug1</t>
  </si>
  <si>
    <t>NA_6 (08EAS_bug1)</t>
  </si>
  <si>
    <t>ISP_COCHRAN</t>
  </si>
  <si>
    <t>Cochran Springs</t>
  </si>
  <si>
    <t>A499</t>
  </si>
  <si>
    <t>CochranKirk1 (Kirkland); A499 Yarrow (dropped KC site, last sampled 2001)</t>
  </si>
  <si>
    <t>sampled successfully in 2025 though reach is only 50 m long; Kirkland sampled there in 2023 (CochranKirk1)</t>
  </si>
  <si>
    <t>create new site if feasible for bugs</t>
  </si>
  <si>
    <t>ISP_ISSAQUAH_US</t>
  </si>
  <si>
    <t>A631</t>
  </si>
  <si>
    <t>08ISS_bug1</t>
  </si>
  <si>
    <t>NA_7 (08ISS_bug1); US Issaquah site</t>
  </si>
  <si>
    <t>Double check we have permission</t>
  </si>
  <si>
    <t>assuming Issaquah OK with us sampling (doubel check after season)</t>
  </si>
  <si>
    <t>Question: can flow be modeled using data from 14a,14b, and USGS gage?</t>
  </si>
  <si>
    <t>ISP_VENEMA</t>
  </si>
  <si>
    <t>Venema</t>
  </si>
  <si>
    <t>Venema Creek</t>
  </si>
  <si>
    <t>KTHA03</t>
  </si>
  <si>
    <t>PIVE1895_PV01</t>
  </si>
  <si>
    <t>ISP_PATTERSON</t>
  </si>
  <si>
    <t>Patterson</t>
  </si>
  <si>
    <t>Patterson Creek</t>
  </si>
  <si>
    <t>PATTER_4</t>
  </si>
  <si>
    <t xml:space="preserve">07PAT_bug1 is US of 07PAT187623 and upstream of a confluence; may want to drop 07PAT187623 after 3 years of scores are comparable </t>
  </si>
  <si>
    <t>07PAT187623</t>
  </si>
  <si>
    <t>ISP_COAL_SNOQUALMIE</t>
  </si>
  <si>
    <t>Coal (Snoqualmie)</t>
  </si>
  <si>
    <t>Coal Creek (Snoqualmie)</t>
  </si>
  <si>
    <t>COAL_1</t>
  </si>
  <si>
    <t>Established a new site closer to WQ site (at 378th)</t>
  </si>
  <si>
    <t>07PAT228627</t>
  </si>
  <si>
    <t>ISP_COTTAGE</t>
  </si>
  <si>
    <t>Cottage Lake</t>
  </si>
  <si>
    <t>Cottage Lake Creek</t>
  </si>
  <si>
    <t>N484</t>
  </si>
  <si>
    <t>08BEA_bug2</t>
  </si>
  <si>
    <t>new site is DS (?) of orginal BIBI site 08BEA3571</t>
  </si>
  <si>
    <t>08BEA3571</t>
  </si>
  <si>
    <t>question - can flow be modeled using data from 02g?; 02L (historical gage - site inactive)</t>
  </si>
  <si>
    <t>ISP_MAPLEWOOD</t>
  </si>
  <si>
    <t>Maplewood</t>
  </si>
  <si>
    <t>Maplewood Creek</t>
  </si>
  <si>
    <t>A462</t>
  </si>
  <si>
    <t>08CED2433</t>
  </si>
  <si>
    <t>ISP_MOLASSES</t>
  </si>
  <si>
    <t>Molasses</t>
  </si>
  <si>
    <t>Molasses Creek</t>
  </si>
  <si>
    <t>31c (historical gage - site inactive)</t>
  </si>
  <si>
    <t>ISP_VASA</t>
  </si>
  <si>
    <t>Vasa</t>
  </si>
  <si>
    <t>Vasa Creek</t>
  </si>
  <si>
    <t>A618</t>
  </si>
  <si>
    <t>08LAK2827</t>
  </si>
  <si>
    <t>ISP_PINE_LAKE</t>
  </si>
  <si>
    <t>Pine Lake</t>
  </si>
  <si>
    <t>Pine Lake Creek</t>
  </si>
  <si>
    <t>A680</t>
  </si>
  <si>
    <t>08LAK3540</t>
  </si>
  <si>
    <t>ISP_EDEN_GEORGE_DAVIS</t>
  </si>
  <si>
    <t>Eden/George Davis</t>
  </si>
  <si>
    <t>Eden/George Davis Creek</t>
  </si>
  <si>
    <t>A690</t>
  </si>
  <si>
    <t>ISP_LITTLE_BEAR_US</t>
  </si>
  <si>
    <t>Little Bear Creek (upstream)</t>
  </si>
  <si>
    <t>S478</t>
  </si>
  <si>
    <t>08LIT2692</t>
  </si>
  <si>
    <t xml:space="preserve">Stream reach appears to actually run through Snohomish County property - KM should check with Snohomish before installing gage; although it appreas we don't necessarily need permission from landowner on east side of stream (Kendra Cleeton and Richard Grant), it's probably a good idea to keep asking for permission. </t>
  </si>
  <si>
    <t>ISP_SWAMP</t>
  </si>
  <si>
    <t>Swamp</t>
  </si>
  <si>
    <t>Swamp Creek</t>
  </si>
  <si>
    <t>BB470</t>
  </si>
  <si>
    <t>ISP_TAYLOR</t>
  </si>
  <si>
    <t>Taylor (W Lake WA)</t>
  </si>
  <si>
    <t>Taylor Creek (W Lake Washington)</t>
  </si>
  <si>
    <t>A441</t>
  </si>
  <si>
    <t>64A and SPU_STA401; both inactive but Dan said gage could be re-established</t>
  </si>
  <si>
    <t>ISP_OLSON</t>
  </si>
  <si>
    <t>Olson</t>
  </si>
  <si>
    <t>Olson Creek</t>
  </si>
  <si>
    <t>0326</t>
  </si>
  <si>
    <t xml:space="preserve">09LOW0751
</t>
  </si>
  <si>
    <t>Area</t>
  </si>
  <si>
    <t>Area_km2</t>
  </si>
  <si>
    <t>Open Water (%)</t>
  </si>
  <si>
    <t>Perennial Ice/Snow (%)</t>
  </si>
  <si>
    <t>Developed, Open Space (%)</t>
  </si>
  <si>
    <t>Developed, Low Intensity (%)</t>
  </si>
  <si>
    <t>Developed, Medium Intensity (%)</t>
  </si>
  <si>
    <t>Developed, High Intensity (%)</t>
  </si>
  <si>
    <t>Barren Land (%)</t>
  </si>
  <si>
    <t>Deciduous Forest (%)</t>
  </si>
  <si>
    <t>Evergreen Forest (%)</t>
  </si>
  <si>
    <t>Mixed Forest (%)</t>
  </si>
  <si>
    <t>Shrub/Scrub (%)</t>
  </si>
  <si>
    <t>Grassland/Herbaceous (%)</t>
  </si>
  <si>
    <t>Pasture/Hay (%)</t>
  </si>
  <si>
    <t>Cultivated Crops (%)</t>
  </si>
  <si>
    <t>Woody Wetlands (%)</t>
  </si>
  <si>
    <t>Emergent Herbaceous Wetlands (%)</t>
  </si>
  <si>
    <t>Impervious Area (%)</t>
  </si>
  <si>
    <t>% Urban (low, med, high intensity developed summed)</t>
  </si>
  <si>
    <t>Coal</t>
  </si>
  <si>
    <t>Eden</t>
  </si>
  <si>
    <t>Mill</t>
  </si>
  <si>
    <t>Tahlequah</t>
  </si>
  <si>
    <t>Taylor</t>
  </si>
  <si>
    <t>WS_Area_KM2</t>
  </si>
  <si>
    <t>WS_percent_impervious_cover</t>
  </si>
  <si>
    <t>WS_percent_urban</t>
  </si>
  <si>
    <t>WS_percent_forest</t>
  </si>
  <si>
    <t>Percent forest (deciduous, evergreen, mixed forest summed)</t>
  </si>
  <si>
    <t>Bankful_width_m</t>
  </si>
  <si>
    <t>Site_Name</t>
  </si>
  <si>
    <t>WS_impervious_cover_percent</t>
  </si>
  <si>
    <t>WS_forest_percent</t>
  </si>
  <si>
    <t>Sample_date</t>
  </si>
  <si>
    <t>Transect_ID</t>
  </si>
  <si>
    <t>Meter_in_Reach</t>
  </si>
  <si>
    <t>BUF_impervious_cover_percent</t>
  </si>
  <si>
    <t>Wetted_width_m</t>
  </si>
  <si>
    <t>Left_bank</t>
  </si>
  <si>
    <t>Center_US</t>
  </si>
  <si>
    <t>Center_DS</t>
  </si>
  <si>
    <t>Center_RB</t>
  </si>
  <si>
    <t>Center_LB</t>
  </si>
  <si>
    <t>Right_bank</t>
  </si>
  <si>
    <t>BIBI_score</t>
  </si>
  <si>
    <t>BIBI_score_year</t>
  </si>
  <si>
    <t>Row</t>
  </si>
  <si>
    <t>Visit ID</t>
  </si>
  <si>
    <t>Site ID</t>
  </si>
  <si>
    <t>WRIA Number</t>
  </si>
  <si>
    <t>WRIA</t>
  </si>
  <si>
    <t>Basin</t>
  </si>
  <si>
    <t>Subbasin</t>
  </si>
  <si>
    <t>Stream</t>
  </si>
  <si>
    <t>Agency</t>
  </si>
  <si>
    <t>Project</t>
  </si>
  <si>
    <t>Site Code</t>
  </si>
  <si>
    <t>Latitude</t>
  </si>
  <si>
    <t>Longitude</t>
  </si>
  <si>
    <t>Event Date</t>
  </si>
  <si>
    <t>Date Released</t>
  </si>
  <si>
    <t>Taxonomic Resolution</t>
  </si>
  <si>
    <t>Total SqFt</t>
  </si>
  <si>
    <t>QC Total SqFt</t>
  </si>
  <si>
    <t>Taxa Richness Quantity</t>
  </si>
  <si>
    <t>QC Taxa Richness Quantity</t>
  </si>
  <si>
    <t>Ephemeroptera Richness Quantity</t>
  </si>
  <si>
    <t>QC Ephemeroptera Richness Quantity</t>
  </si>
  <si>
    <t>Plecoptera Richness Quantity</t>
  </si>
  <si>
    <t>QC Plecoptera Richness Quantity</t>
  </si>
  <si>
    <t>Trichoptera Richness Quantity</t>
  </si>
  <si>
    <t>QC Trichoptera Richness Quantity</t>
  </si>
  <si>
    <t>EPT Richness Quantity</t>
  </si>
  <si>
    <t>QC EPT Richness Quantity</t>
  </si>
  <si>
    <t>Clinger Richness Quantity</t>
  </si>
  <si>
    <t>QC Clinger Richness Quantity</t>
  </si>
  <si>
    <t>Long-Lived Richness Quantity</t>
  </si>
  <si>
    <t>QC Long-Lived Richness Quantity</t>
  </si>
  <si>
    <t>Intolerant Richness Quantity</t>
  </si>
  <si>
    <t>QC Intolerant Richness Quantity</t>
  </si>
  <si>
    <t>Percent Dominant Quantity</t>
  </si>
  <si>
    <t>QC Percent Dominant Quantity</t>
  </si>
  <si>
    <t>Predator Percent Quantity</t>
  </si>
  <si>
    <t>QC Predator Percent Quantity</t>
  </si>
  <si>
    <t>Tolerant Percent Quantity</t>
  </si>
  <si>
    <t>QC Tolerant Percent Quantity</t>
  </si>
  <si>
    <t>Number of Organisms</t>
  </si>
  <si>
    <t>QC Number of Organisms</t>
  </si>
  <si>
    <t>Overall Score</t>
  </si>
  <si>
    <t>QC Overall Score</t>
  </si>
  <si>
    <t>Taxa Richness Score</t>
  </si>
  <si>
    <t>QC Taxa Richness Score</t>
  </si>
  <si>
    <t>Ephemeroptera Richness Score</t>
  </si>
  <si>
    <t>QC Ephemeroptera Richness Score</t>
  </si>
  <si>
    <t>Plecoptera Richness Score</t>
  </si>
  <si>
    <t>QC Plecoptera Richness Score</t>
  </si>
  <si>
    <t>Trichoptera Richness Score</t>
  </si>
  <si>
    <t>QC Trichoptera Richness Score</t>
  </si>
  <si>
    <t>Clinger Richness Score</t>
  </si>
  <si>
    <t>QC Clinger Richness Score</t>
  </si>
  <si>
    <t>Long-Lived Richness Score</t>
  </si>
  <si>
    <t>QC Long-Lived Richness Score</t>
  </si>
  <si>
    <t>Intolerant Richness Score</t>
  </si>
  <si>
    <t>QC Intolerant Richness Score</t>
  </si>
  <si>
    <t>Percent Dominant Score</t>
  </si>
  <si>
    <t>QC Percent Dominant Score</t>
  </si>
  <si>
    <t>Predator Percent Score</t>
  </si>
  <si>
    <t>QC Predator Percent Score</t>
  </si>
  <si>
    <t>Tolerant Percent Score</t>
  </si>
  <si>
    <t>WRIA 7 - Snohomish</t>
  </si>
  <si>
    <t>Lower Snoqualmie Basin</t>
  </si>
  <si>
    <t>Cherry Creek Subbasin</t>
  </si>
  <si>
    <t>King County - DNRP</t>
  </si>
  <si>
    <t>Integrated Streams Program</t>
  </si>
  <si>
    <t>Fine</t>
  </si>
  <si>
    <t>Griffin Creek Subbasin</t>
  </si>
  <si>
    <t>Ambient Monitoring</t>
  </si>
  <si>
    <t>Kimball Creek Subbasin</t>
  </si>
  <si>
    <t>Coal Creek (Snoqualmie River)</t>
  </si>
  <si>
    <t>Patterson Creek Subbasin</t>
  </si>
  <si>
    <t>WRIA 8 - Cedar-Sammamish</t>
  </si>
  <si>
    <t>Cedar River / Lake Washington Basin</t>
  </si>
  <si>
    <t>Coal Creek (Cedar) Subbasin</t>
  </si>
  <si>
    <t>City of Bellevue</t>
  </si>
  <si>
    <t>Macroinvertebrates</t>
  </si>
  <si>
    <t>E Lake Washington - Bellevue N Subbasin</t>
  </si>
  <si>
    <t>Cochran Springs Creek</t>
  </si>
  <si>
    <t>Forbes Creek Subbasin</t>
  </si>
  <si>
    <t>Forbes Creek (0242)</t>
  </si>
  <si>
    <t>Juanita Creek Subbasin</t>
  </si>
  <si>
    <t>Lower Cedar River Subbasin</t>
  </si>
  <si>
    <t>Rock Creek (Lower Cedar)</t>
  </si>
  <si>
    <t>Lyon Creek Subbasin</t>
  </si>
  <si>
    <t>May Creek Subbasin</t>
  </si>
  <si>
    <t>May Creek (Lake Washington)</t>
  </si>
  <si>
    <t>McAleer Creek Subbasin</t>
  </si>
  <si>
    <t>Thornton Creek Subbasin</t>
  </si>
  <si>
    <t>City of Seattle</t>
  </si>
  <si>
    <t>Status &amp; Trends</t>
  </si>
  <si>
    <t>W Lake Washington - Seattle S Subbasin</t>
  </si>
  <si>
    <t>Puget Sound (Cedar-Sammamish) Basin</t>
  </si>
  <si>
    <t>Pipers Creek Subbasin</t>
  </si>
  <si>
    <t>Project Evaluation</t>
  </si>
  <si>
    <t>Sammamish River Basin</t>
  </si>
  <si>
    <t>Bear Creek Subbasin</t>
  </si>
  <si>
    <t>Bear Creek (Sammamish River)</t>
  </si>
  <si>
    <t>E Lake Sammamish Subbasin</t>
  </si>
  <si>
    <t>City of Sammamish</t>
  </si>
  <si>
    <t>WQ Expansion</t>
  </si>
  <si>
    <t>Issaquah Creek Subbasin</t>
  </si>
  <si>
    <t>Little Bear Creek Subbasin</t>
  </si>
  <si>
    <t>Little Bear Creek</t>
  </si>
  <si>
    <t>North Creek Subbasin</t>
  </si>
  <si>
    <t>Swamp Creek Subbasin</t>
  </si>
  <si>
    <t>W Lake Sammamish Subbasin</t>
  </si>
  <si>
    <t>WRIA 9 - Duwamish-Green</t>
  </si>
  <si>
    <t>Duwamish - Green River Basin</t>
  </si>
  <si>
    <t>Black River Subbasin</t>
  </si>
  <si>
    <t>Covington Creek Subbasin</t>
  </si>
  <si>
    <t>Jenkins Creek Subbasin</t>
  </si>
  <si>
    <t>Longfellow Creek Subbasin</t>
  </si>
  <si>
    <t>Lower Green River - E Subbasin</t>
  </si>
  <si>
    <t>Soos Creek Subbasin</t>
  </si>
  <si>
    <t>Big Soos Creek</t>
  </si>
  <si>
    <t>Puget Sound (Duwamish-Green) Basin</t>
  </si>
  <si>
    <t>Miller Creek Subbasin</t>
  </si>
  <si>
    <t>Vashon-Maury Island Subbasin</t>
  </si>
  <si>
    <t>Christenson Creek</t>
  </si>
  <si>
    <t>WRIA 10 - Puyallup-White</t>
  </si>
  <si>
    <t>Green Waters Basin</t>
  </si>
  <si>
    <t>Mud Mt Lake Subbasin</t>
  </si>
  <si>
    <t>Boise Ambient</t>
  </si>
  <si>
    <t>BSE_1_MudMtnRd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</si>
</sst>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0"/>
    <numFmt numFmtId="165" formatCode="0.0"/>
    <numFmt numFmtId="166" formatCode="0.0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59999389629810485"/>
        <bgColor theme="0" tint="-0.14999847407452621"/>
      </patternFill>
    </fill>
    <fill>
      <patternFill patternType="solid">
        <fgColor rgb="FFF4B084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BCE29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14" fontId="0" fillId="0" borderId="0" xfId="0" applyNumberFormat="1"/>
    <xf numFmtId="0" fontId="0" fillId="0" borderId="1" xfId="0" applyBorder="1"/>
    <xf numFmtId="0" fontId="4" fillId="0" borderId="0" xfId="0" applyFont="1"/>
    <xf numFmtId="0" fontId="5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vertical="top" wrapText="1"/>
    </xf>
    <xf numFmtId="2" fontId="5" fillId="4" borderId="2" xfId="0" applyNumberFormat="1" applyFont="1" applyFill="1" applyBorder="1" applyAlignment="1">
      <alignment horizontal="right" vertical="top"/>
    </xf>
    <xf numFmtId="0" fontId="2" fillId="4" borderId="2" xfId="0" applyFont="1" applyFill="1" applyBorder="1" applyAlignment="1">
      <alignment vertical="top"/>
    </xf>
    <xf numFmtId="164" fontId="2" fillId="4" borderId="2" xfId="0" applyNumberFormat="1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horizontal="left" vertical="top"/>
    </xf>
    <xf numFmtId="0" fontId="6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center" wrapText="1"/>
    </xf>
    <xf numFmtId="165" fontId="6" fillId="0" borderId="2" xfId="0" applyNumberFormat="1" applyFont="1" applyBorder="1" applyAlignment="1">
      <alignment horizontal="left" wrapText="1"/>
    </xf>
    <xf numFmtId="164" fontId="6" fillId="0" borderId="2" xfId="0" applyNumberFormat="1" applyFont="1" applyBorder="1" applyAlignment="1">
      <alignment horizontal="right"/>
    </xf>
    <xf numFmtId="49" fontId="0" fillId="0" borderId="2" xfId="0" applyNumberFormat="1" applyBorder="1"/>
    <xf numFmtId="49" fontId="6" fillId="0" borderId="2" xfId="0" applyNumberFormat="1" applyFont="1" applyBorder="1" applyAlignment="1">
      <alignment horizontal="left" wrapText="1"/>
    </xf>
    <xf numFmtId="164" fontId="0" fillId="0" borderId="2" xfId="0" applyNumberFormat="1" applyBorder="1" applyAlignment="1">
      <alignment horizontal="center"/>
    </xf>
    <xf numFmtId="0" fontId="6" fillId="0" borderId="2" xfId="0" applyFont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wrapText="1"/>
    </xf>
    <xf numFmtId="164" fontId="6" fillId="0" borderId="2" xfId="0" applyNumberFormat="1" applyFont="1" applyBorder="1" applyAlignment="1">
      <alignment horizontal="left" wrapText="1"/>
    </xf>
    <xf numFmtId="166" fontId="0" fillId="0" borderId="2" xfId="0" applyNumberFormat="1" applyBorder="1"/>
    <xf numFmtId="0" fontId="0" fillId="0" borderId="0" xfId="0" applyAlignment="1">
      <alignment horizontal="center"/>
    </xf>
    <xf numFmtId="164" fontId="6" fillId="0" borderId="2" xfId="0" applyNumberFormat="1" applyFont="1" applyBorder="1" applyAlignment="1">
      <alignment horizontal="center" wrapText="1"/>
    </xf>
    <xf numFmtId="0" fontId="7" fillId="0" borderId="2" xfId="0" applyFont="1" applyBorder="1"/>
    <xf numFmtId="0" fontId="7" fillId="6" borderId="2" xfId="0" applyFont="1" applyFill="1" applyBorder="1" applyAlignment="1">
      <alignment wrapText="1"/>
    </xf>
    <xf numFmtId="0" fontId="7" fillId="5" borderId="2" xfId="0" applyFont="1" applyFill="1" applyBorder="1" applyAlignment="1">
      <alignment wrapText="1"/>
    </xf>
    <xf numFmtId="164" fontId="0" fillId="0" borderId="2" xfId="0" applyNumberFormat="1" applyBorder="1" applyAlignment="1">
      <alignment horizontal="right"/>
    </xf>
    <xf numFmtId="0" fontId="6" fillId="7" borderId="2" xfId="0" applyFont="1" applyFill="1" applyBorder="1" applyAlignment="1">
      <alignment horizontal="left" wrapText="1"/>
    </xf>
    <xf numFmtId="0" fontId="6" fillId="5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/>
    </xf>
    <xf numFmtId="49" fontId="0" fillId="0" borderId="2" xfId="0" applyNumberFormat="1" applyBorder="1" applyAlignment="1">
      <alignment wrapText="1"/>
    </xf>
    <xf numFmtId="0" fontId="6" fillId="8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wrapText="1"/>
    </xf>
    <xf numFmtId="0" fontId="6" fillId="9" borderId="2" xfId="0" applyFont="1" applyFill="1" applyBorder="1" applyAlignment="1">
      <alignment horizontal="left" wrapText="1"/>
    </xf>
    <xf numFmtId="0" fontId="3" fillId="0" borderId="2" xfId="0" applyFont="1" applyBorder="1"/>
    <xf numFmtId="0" fontId="0" fillId="0" borderId="2" xfId="0" applyBorder="1"/>
    <xf numFmtId="0" fontId="6" fillId="10" borderId="2" xfId="0" applyFont="1" applyFill="1" applyBorder="1" applyAlignment="1">
      <alignment horizontal="left" wrapText="1"/>
    </xf>
    <xf numFmtId="164" fontId="6" fillId="10" borderId="2" xfId="0" applyNumberFormat="1" applyFont="1" applyFill="1" applyBorder="1" applyAlignment="1">
      <alignment horizontal="left" wrapText="1"/>
    </xf>
    <xf numFmtId="166" fontId="6" fillId="0" borderId="2" xfId="0" applyNumberFormat="1" applyFont="1" applyBorder="1" applyAlignment="1">
      <alignment horizontal="left" wrapText="1"/>
    </xf>
    <xf numFmtId="0" fontId="6" fillId="11" borderId="2" xfId="0" applyFont="1" applyFill="1" applyBorder="1" applyAlignment="1">
      <alignment horizontal="left" wrapText="1"/>
    </xf>
    <xf numFmtId="0" fontId="6" fillId="12" borderId="2" xfId="0" applyFont="1" applyFill="1" applyBorder="1" applyAlignment="1">
      <alignment horizontal="left" wrapText="1"/>
    </xf>
    <xf numFmtId="0" fontId="6" fillId="13" borderId="2" xfId="0" applyFont="1" applyFill="1" applyBorder="1" applyAlignment="1">
      <alignment horizontal="left" wrapText="1"/>
    </xf>
    <xf numFmtId="166" fontId="0" fillId="0" borderId="2" xfId="0" applyNumberFormat="1" applyBorder="1" applyAlignment="1">
      <alignment horizontal="left"/>
    </xf>
    <xf numFmtId="49" fontId="6" fillId="0" borderId="2" xfId="0" applyNumberFormat="1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0" fontId="0" fillId="5" borderId="0" xfId="0" applyFill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3" fontId="2" fillId="0" borderId="0" xfId="1" applyFont="1" applyBorder="1" applyAlignment="1">
      <alignment wrapText="1"/>
    </xf>
    <xf numFmtId="0" fontId="2" fillId="14" borderId="0" xfId="0" applyFont="1" applyFill="1" applyAlignment="1">
      <alignment wrapText="1"/>
    </xf>
    <xf numFmtId="0" fontId="2" fillId="15" borderId="0" xfId="0" applyFont="1" applyFill="1" applyAlignment="1">
      <alignment wrapText="1"/>
    </xf>
    <xf numFmtId="2" fontId="0" fillId="0" borderId="0" xfId="0" applyNumberFormat="1"/>
    <xf numFmtId="0" fontId="6" fillId="0" borderId="0" xfId="0" applyFont="1" applyAlignment="1">
      <alignment horizontal="left"/>
    </xf>
    <xf numFmtId="2" fontId="0" fillId="14" borderId="0" xfId="0" applyNumberFormat="1" applyFill="1"/>
    <xf numFmtId="2" fontId="0" fillId="15" borderId="0" xfId="0" applyNumberFormat="1" applyFill="1"/>
    <xf numFmtId="0" fontId="0" fillId="0" borderId="0" xfId="0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10" fontId="0" fillId="0" borderId="0" xfId="0" applyNumberFormat="1"/>
  </cellXfs>
  <cellStyles count="2">
    <cellStyle name="Comma" xfId="1" builtinId="3"/>
    <cellStyle name="Normal" xfId="0" builtinId="0"/>
  </cellStyles>
  <dxfs count="5"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1.sharepoint.com/teams/DNRP-WLRDScienceSectionPerformance/LSSG%20Files/Freshwater/Streams/Integrated%20Streams%20Program/Data/ISP_AligningPrograms_SiteSelection_7.17.24.xlsx" TargetMode="External"/><Relationship Id="rId1" Type="http://schemas.openxmlformats.org/officeDocument/2006/relationships/externalLinkPath" Target="ISP_AligningPrograms_SiteSelection_7.17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P Summary"/>
      <sheetName val="ISP Sites"/>
      <sheetName val="Sheet3"/>
      <sheetName val="Alternative Sites"/>
      <sheetName val="Rejected"/>
      <sheetName val="Sheet1"/>
      <sheetName val="Sheet2"/>
      <sheetName val="Sheet5"/>
      <sheetName val="Final ISP List"/>
      <sheetName val="table for tech memo"/>
      <sheetName val="peri schedule"/>
      <sheetName val="periphyton priority"/>
      <sheetName val="Landcover"/>
      <sheetName val="Notes"/>
      <sheetName val="GagingDetails"/>
      <sheetName val="PSSB status"/>
      <sheetName val="BIBI plots"/>
      <sheetName val="BIBI sites that were moved"/>
      <sheetName val="cost est bugs ga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ISP_COMID</v>
          </cell>
          <cell r="B1" t="str">
            <v>Area</v>
          </cell>
          <cell r="C1" t="str">
            <v>Area_km2</v>
          </cell>
          <cell r="D1" t="str">
            <v>Open Water (%)</v>
          </cell>
          <cell r="E1" t="str">
            <v>Perennial Ice/Snow (%)</v>
          </cell>
          <cell r="F1" t="str">
            <v>Developed, Open Space (%)</v>
          </cell>
          <cell r="G1" t="str">
            <v>Developed, Low Intensity (%)</v>
          </cell>
          <cell r="H1" t="str">
            <v>Developed, Medium Intensity (%)</v>
          </cell>
          <cell r="I1" t="str">
            <v>Developed, High Intensity (%)</v>
          </cell>
          <cell r="J1" t="str">
            <v>Barren Land (%)</v>
          </cell>
          <cell r="K1" t="str">
            <v>Deciduous Forest (%)</v>
          </cell>
          <cell r="L1" t="str">
            <v>Evergreen Forest (%)</v>
          </cell>
          <cell r="M1" t="str">
            <v>Mixed Forest (%)</v>
          </cell>
          <cell r="N1" t="str">
            <v>Shrub/Scrub (%)</v>
          </cell>
          <cell r="O1" t="str">
            <v>Grassland/Herbaceous (%)</v>
          </cell>
          <cell r="P1" t="str">
            <v>Pasture/Hay (%)</v>
          </cell>
          <cell r="Q1" t="str">
            <v>Cultivated Crops (%)</v>
          </cell>
          <cell r="R1" t="str">
            <v>Woody Wetlands (%)</v>
          </cell>
          <cell r="S1" t="str">
            <v>Emergent Herbaceous Wetlands (%)</v>
          </cell>
          <cell r="T1" t="str">
            <v>Impervious Area (%)</v>
          </cell>
        </row>
        <row r="2">
          <cell r="A2" t="str">
            <v>ISP_BEAR</v>
          </cell>
          <cell r="B2" t="str">
            <v>Bear</v>
          </cell>
          <cell r="C2">
            <v>123.34249504493199</v>
          </cell>
          <cell r="D2">
            <v>0.57498430833220504</v>
          </cell>
          <cell r="E2">
            <v>0</v>
          </cell>
          <cell r="F2">
            <v>32.000038027763402</v>
          </cell>
          <cell r="G2">
            <v>22.833600640296901</v>
          </cell>
          <cell r="H2">
            <v>8.0717258155345899</v>
          </cell>
          <cell r="I2">
            <v>1.5429452061653099</v>
          </cell>
          <cell r="J2">
            <v>1.31341599626467E-2</v>
          </cell>
          <cell r="K2">
            <v>1.6974290832877199</v>
          </cell>
          <cell r="L2">
            <v>13.857509195804599</v>
          </cell>
          <cell r="M2">
            <v>10.5638898909092</v>
          </cell>
          <cell r="N2">
            <v>0.13624021084979199</v>
          </cell>
          <cell r="O2">
            <v>8.5404468700289699E-2</v>
          </cell>
          <cell r="P2">
            <v>1.5063126571476499</v>
          </cell>
          <cell r="Q2">
            <v>0</v>
          </cell>
          <cell r="R2">
            <v>4.7849837690591803</v>
          </cell>
          <cell r="S2">
            <v>2.3318031802773498</v>
          </cell>
          <cell r="T2">
            <v>16.955947875976602</v>
          </cell>
        </row>
        <row r="3">
          <cell r="A3" t="str">
            <v>ISP_BOISE</v>
          </cell>
          <cell r="B3" t="str">
            <v>Boise</v>
          </cell>
          <cell r="C3">
            <v>39.558549419498597</v>
          </cell>
          <cell r="D3">
            <v>8.1903912359848605E-2</v>
          </cell>
          <cell r="E3">
            <v>0</v>
          </cell>
          <cell r="F3">
            <v>6.61789774894714</v>
          </cell>
          <cell r="G3">
            <v>5.1203463226556796</v>
          </cell>
          <cell r="H3">
            <v>4.7288492321968096</v>
          </cell>
          <cell r="I3">
            <v>0.94732344150543202</v>
          </cell>
          <cell r="J3">
            <v>1.7404580488801</v>
          </cell>
          <cell r="K3">
            <v>0.55731781758368004</v>
          </cell>
          <cell r="L3">
            <v>44.1033214330673</v>
          </cell>
          <cell r="M3">
            <v>5.4235029965639097</v>
          </cell>
          <cell r="N3">
            <v>6.9043740630149797</v>
          </cell>
          <cell r="O3">
            <v>11.2230628728867</v>
          </cell>
          <cell r="P3">
            <v>9.1529339551925695</v>
          </cell>
          <cell r="Q3">
            <v>0</v>
          </cell>
          <cell r="R3">
            <v>2.80038490891457</v>
          </cell>
          <cell r="S3">
            <v>0.59831808321178004</v>
          </cell>
          <cell r="T3">
            <v>6.1831388473510698</v>
          </cell>
        </row>
        <row r="4">
          <cell r="A4" t="str">
            <v>ISP_CAREY</v>
          </cell>
          <cell r="B4" t="str">
            <v>Carey</v>
          </cell>
          <cell r="C4">
            <v>14.961393459395699</v>
          </cell>
          <cell r="D4">
            <v>0</v>
          </cell>
          <cell r="E4">
            <v>0</v>
          </cell>
          <cell r="F4">
            <v>1.72905940562487</v>
          </cell>
          <cell r="G4">
            <v>0.27025823947042199</v>
          </cell>
          <cell r="H4">
            <v>2.5525814271531999E-2</v>
          </cell>
          <cell r="I4">
            <v>0</v>
          </cell>
          <cell r="J4">
            <v>0</v>
          </cell>
          <cell r="K4">
            <v>11.3844692707062</v>
          </cell>
          <cell r="L4">
            <v>51.386284828186</v>
          </cell>
          <cell r="M4">
            <v>28.756871819496101</v>
          </cell>
          <cell r="N4">
            <v>3.43946665525436</v>
          </cell>
          <cell r="O4">
            <v>2.2682687267661099</v>
          </cell>
          <cell r="P4">
            <v>0.303797516971827</v>
          </cell>
          <cell r="Q4">
            <v>0</v>
          </cell>
          <cell r="R4">
            <v>0.43599354103207599</v>
          </cell>
          <cell r="S4">
            <v>0</v>
          </cell>
          <cell r="T4">
            <v>0.22439329326152799</v>
          </cell>
        </row>
        <row r="5">
          <cell r="A5" t="str">
            <v>ISP_CHERRY</v>
          </cell>
          <cell r="B5" t="str">
            <v>Cherry Creek</v>
          </cell>
          <cell r="C5">
            <v>50.5372401513117</v>
          </cell>
          <cell r="D5">
            <v>1.01331220939755</v>
          </cell>
          <cell r="E5">
            <v>0</v>
          </cell>
          <cell r="F5">
            <v>5.4547186940908396</v>
          </cell>
          <cell r="G5">
            <v>1.2888761237263699</v>
          </cell>
          <cell r="H5">
            <v>9.6293998649343807E-2</v>
          </cell>
          <cell r="I5">
            <v>4.3359159462852398E-4</v>
          </cell>
          <cell r="J5">
            <v>0</v>
          </cell>
          <cell r="K5">
            <v>4.4207353144884101</v>
          </cell>
          <cell r="L5">
            <v>61.534088850021398</v>
          </cell>
          <cell r="M5">
            <v>15.988709032535599</v>
          </cell>
          <cell r="N5">
            <v>2.7666186913847901</v>
          </cell>
          <cell r="O5">
            <v>2.2817367687821402</v>
          </cell>
          <cell r="P5">
            <v>0.62105725519359101</v>
          </cell>
          <cell r="Q5">
            <v>0</v>
          </cell>
          <cell r="R5">
            <v>4.4924639165401503</v>
          </cell>
          <cell r="S5">
            <v>4.0959895704872899E-2</v>
          </cell>
          <cell r="T5">
            <v>0.93530923128128096</v>
          </cell>
        </row>
        <row r="6">
          <cell r="A6" t="str">
            <v>ISP_CHRISTENSEN</v>
          </cell>
          <cell r="B6" t="str">
            <v>Christensen</v>
          </cell>
          <cell r="C6">
            <v>2.3806298670764798</v>
          </cell>
          <cell r="D6">
            <v>0</v>
          </cell>
          <cell r="E6">
            <v>0</v>
          </cell>
          <cell r="F6">
            <v>16.119502484798399</v>
          </cell>
          <cell r="G6">
            <v>3.1347926706075699</v>
          </cell>
          <cell r="H6">
            <v>0.28541490901261601</v>
          </cell>
          <cell r="I6">
            <v>0</v>
          </cell>
          <cell r="J6">
            <v>0</v>
          </cell>
          <cell r="K6">
            <v>0.713403429836035</v>
          </cell>
          <cell r="L6">
            <v>42.416375875473001</v>
          </cell>
          <cell r="M6">
            <v>19.0534234046936</v>
          </cell>
          <cell r="N6">
            <v>0</v>
          </cell>
          <cell r="O6">
            <v>0</v>
          </cell>
          <cell r="P6">
            <v>17.936840653419502</v>
          </cell>
          <cell r="Q6">
            <v>0</v>
          </cell>
          <cell r="R6">
            <v>0.34024608321487898</v>
          </cell>
          <cell r="S6">
            <v>0</v>
          </cell>
          <cell r="T6">
            <v>2.8491477966308598</v>
          </cell>
        </row>
        <row r="7">
          <cell r="A7" t="str">
            <v>ISP_COAL_BELLEVUE</v>
          </cell>
          <cell r="B7" t="str">
            <v>Coal</v>
          </cell>
          <cell r="C7">
            <v>14.617636430961999</v>
          </cell>
          <cell r="D7">
            <v>1.2313891784288E-2</v>
          </cell>
          <cell r="E7">
            <v>0</v>
          </cell>
          <cell r="F7">
            <v>19.272120296955102</v>
          </cell>
          <cell r="G7">
            <v>22.4942982196808</v>
          </cell>
          <cell r="H7">
            <v>15.465603768825501</v>
          </cell>
          <cell r="I7">
            <v>1.3093809597194199</v>
          </cell>
          <cell r="J7">
            <v>0</v>
          </cell>
          <cell r="K7">
            <v>7.3165774345397896</v>
          </cell>
          <cell r="L7">
            <v>2.0212780684232698</v>
          </cell>
          <cell r="M7">
            <v>31.814351677894599</v>
          </cell>
          <cell r="N7">
            <v>6.7726406268775505E-2</v>
          </cell>
          <cell r="O7">
            <v>0</v>
          </cell>
          <cell r="P7">
            <v>0.177093979436904</v>
          </cell>
          <cell r="Q7">
            <v>0</v>
          </cell>
          <cell r="R7">
            <v>4.9255567137151998E-2</v>
          </cell>
          <cell r="S7">
            <v>0</v>
          </cell>
          <cell r="T7">
            <v>19.957798004150401</v>
          </cell>
        </row>
        <row r="8">
          <cell r="A8" t="str">
            <v>ISP_COAL_SNOQUALMIE</v>
          </cell>
          <cell r="B8" t="str">
            <v>Coal</v>
          </cell>
          <cell r="C8">
            <v>7.1488751209223</v>
          </cell>
          <cell r="D8">
            <v>0</v>
          </cell>
          <cell r="E8">
            <v>0</v>
          </cell>
          <cell r="F8">
            <v>10.4639232158661</v>
          </cell>
          <cell r="G8">
            <v>7.0417650043964404</v>
          </cell>
          <cell r="H8">
            <v>14.884003996849099</v>
          </cell>
          <cell r="I8">
            <v>2.0479252561926802</v>
          </cell>
          <cell r="J8">
            <v>0</v>
          </cell>
          <cell r="K8">
            <v>1.6874797642231001</v>
          </cell>
          <cell r="L8">
            <v>30.620151758194002</v>
          </cell>
          <cell r="M8">
            <v>31.717973947525</v>
          </cell>
          <cell r="N8">
            <v>0.60219080187380303</v>
          </cell>
          <cell r="O8">
            <v>0</v>
          </cell>
          <cell r="P8">
            <v>0.113304541446269</v>
          </cell>
          <cell r="Q8">
            <v>0</v>
          </cell>
          <cell r="R8">
            <v>0.821282248944044</v>
          </cell>
          <cell r="S8">
            <v>0</v>
          </cell>
          <cell r="T8">
            <v>14.888334274291999</v>
          </cell>
        </row>
        <row r="9">
          <cell r="A9" t="str">
            <v>ISP_COCHRAN</v>
          </cell>
          <cell r="B9" t="str">
            <v>Cochran Springs</v>
          </cell>
          <cell r="C9">
            <v>0.58498809636842097</v>
          </cell>
          <cell r="D9">
            <v>0</v>
          </cell>
          <cell r="E9">
            <v>0</v>
          </cell>
          <cell r="F9">
            <v>19.324867427349101</v>
          </cell>
          <cell r="G9">
            <v>27.3242861032486</v>
          </cell>
          <cell r="H9">
            <v>23.5202357172966</v>
          </cell>
          <cell r="I9">
            <v>8.2200586795806903</v>
          </cell>
          <cell r="J9">
            <v>0</v>
          </cell>
          <cell r="K9">
            <v>2.6154378429055201</v>
          </cell>
          <cell r="L9">
            <v>4.0776982903480503</v>
          </cell>
          <cell r="M9">
            <v>14.9174183607101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32.838733673095703</v>
          </cell>
        </row>
        <row r="10">
          <cell r="A10" t="str">
            <v>ISP_COTTAGE</v>
          </cell>
          <cell r="B10" t="str">
            <v>Cottage Lake Creek</v>
          </cell>
          <cell r="C10">
            <v>26.601287590210301</v>
          </cell>
          <cell r="D10">
            <v>1.83036252856255</v>
          </cell>
          <cell r="E10">
            <v>0</v>
          </cell>
          <cell r="F10">
            <v>36.097079515457203</v>
          </cell>
          <cell r="G10">
            <v>27.356004714965799</v>
          </cell>
          <cell r="H10">
            <v>5.0371233373880404</v>
          </cell>
          <cell r="I10">
            <v>1.29407588392496</v>
          </cell>
          <cell r="J10">
            <v>0</v>
          </cell>
          <cell r="K10">
            <v>1.18192695081234</v>
          </cell>
          <cell r="L10">
            <v>14.3591582775116</v>
          </cell>
          <cell r="M10">
            <v>6.4488403499126399</v>
          </cell>
          <cell r="N10">
            <v>0.111648731399328</v>
          </cell>
          <cell r="O10">
            <v>0.37892903201282002</v>
          </cell>
          <cell r="P10">
            <v>7.4432487599551705E-2</v>
          </cell>
          <cell r="Q10">
            <v>0</v>
          </cell>
          <cell r="R10">
            <v>4.3490093201398903</v>
          </cell>
          <cell r="S10">
            <v>1.4814089983701699</v>
          </cell>
          <cell r="T10">
            <v>16.685585021972699</v>
          </cell>
        </row>
        <row r="11">
          <cell r="A11" t="str">
            <v>ISP_COVINGTON</v>
          </cell>
          <cell r="B11" t="str">
            <v>Covington</v>
          </cell>
          <cell r="C11">
            <v>44.271650506350198</v>
          </cell>
          <cell r="D11">
            <v>3.2709419727325399</v>
          </cell>
          <cell r="E11">
            <v>0</v>
          </cell>
          <cell r="F11">
            <v>14.9210974574089</v>
          </cell>
          <cell r="G11">
            <v>12.8169625997543</v>
          </cell>
          <cell r="H11">
            <v>6.5577365458011601</v>
          </cell>
          <cell r="I11">
            <v>0.35410083364695299</v>
          </cell>
          <cell r="J11">
            <v>2.3112583905458499</v>
          </cell>
          <cell r="K11">
            <v>4.5337546616792697</v>
          </cell>
          <cell r="L11">
            <v>30.681356787681601</v>
          </cell>
          <cell r="M11">
            <v>11.026963591575599</v>
          </cell>
          <cell r="N11">
            <v>4.60790768265724</v>
          </cell>
          <cell r="O11">
            <v>1.20122777298093</v>
          </cell>
          <cell r="P11">
            <v>2.04667914658785</v>
          </cell>
          <cell r="Q11">
            <v>4.06580729759298E-3</v>
          </cell>
          <cell r="R11">
            <v>4.7572396695613897</v>
          </cell>
          <cell r="S11">
            <v>0.90870792046189297</v>
          </cell>
          <cell r="T11">
            <v>10.134401321411101</v>
          </cell>
        </row>
        <row r="12">
          <cell r="A12" t="str">
            <v>ISP_EBRIGHT</v>
          </cell>
          <cell r="B12" t="str">
            <v>Ebright</v>
          </cell>
          <cell r="C12">
            <v>2.7909910831518898</v>
          </cell>
          <cell r="D12">
            <v>0</v>
          </cell>
          <cell r="E12">
            <v>0</v>
          </cell>
          <cell r="F12">
            <v>36.557510495185802</v>
          </cell>
          <cell r="G12">
            <v>22.808545827865601</v>
          </cell>
          <cell r="H12">
            <v>14.4280388951302</v>
          </cell>
          <cell r="I12">
            <v>1.0216921567916899</v>
          </cell>
          <cell r="J12">
            <v>0</v>
          </cell>
          <cell r="K12">
            <v>0.61268555000424396</v>
          </cell>
          <cell r="L12">
            <v>10.530913621187199</v>
          </cell>
          <cell r="M12">
            <v>9.7892448306083697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4.2191177606582597</v>
          </cell>
          <cell r="S12">
            <v>3.22466075886041E-2</v>
          </cell>
          <cell r="T12">
            <v>21.239496231079102</v>
          </cell>
        </row>
        <row r="13">
          <cell r="A13" t="str">
            <v>ISP_EDEN_GEORGE_DAVIS</v>
          </cell>
          <cell r="B13" t="str">
            <v>Eden</v>
          </cell>
          <cell r="C13">
            <v>9.5075485897143306</v>
          </cell>
          <cell r="D13">
            <v>0.36918031983077498</v>
          </cell>
          <cell r="E13">
            <v>0</v>
          </cell>
          <cell r="F13">
            <v>28.650796413421599</v>
          </cell>
          <cell r="G13">
            <v>27.259770035743699</v>
          </cell>
          <cell r="H13">
            <v>23.1425732374191</v>
          </cell>
          <cell r="I13">
            <v>3.1646974384784698</v>
          </cell>
          <cell r="J13">
            <v>0</v>
          </cell>
          <cell r="K13">
            <v>0.92512769624590896</v>
          </cell>
          <cell r="L13">
            <v>4.5542981475591704</v>
          </cell>
          <cell r="M13">
            <v>5.5358327925205204</v>
          </cell>
          <cell r="N13">
            <v>0</v>
          </cell>
          <cell r="O13">
            <v>0</v>
          </cell>
          <cell r="P13">
            <v>1.7944071441888799E-2</v>
          </cell>
          <cell r="Q13">
            <v>0</v>
          </cell>
          <cell r="R13">
            <v>5.3100973367690996</v>
          </cell>
          <cell r="S13">
            <v>1.06967631727457</v>
          </cell>
          <cell r="T13">
            <v>29.315574645996101</v>
          </cell>
        </row>
        <row r="14">
          <cell r="A14" t="str">
            <v>ISP_FAIRWEATHER</v>
          </cell>
          <cell r="B14" t="str">
            <v>Fairweather</v>
          </cell>
          <cell r="C14">
            <v>2.3491521460434099</v>
          </cell>
          <cell r="D14">
            <v>0.114935089368373</v>
          </cell>
          <cell r="E14">
            <v>0</v>
          </cell>
          <cell r="F14">
            <v>20.512965321540801</v>
          </cell>
          <cell r="G14">
            <v>53.273183107376099</v>
          </cell>
          <cell r="H14">
            <v>26.098918914794901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36.221927642822301</v>
          </cell>
        </row>
        <row r="15">
          <cell r="A15" t="str">
            <v>ISP_FORBES</v>
          </cell>
          <cell r="B15" t="str">
            <v>Forbes</v>
          </cell>
          <cell r="C15">
            <v>5.5757419563841104</v>
          </cell>
          <cell r="D15">
            <v>0.40353373624384398</v>
          </cell>
          <cell r="E15">
            <v>0</v>
          </cell>
          <cell r="F15">
            <v>13.555108010768899</v>
          </cell>
          <cell r="G15">
            <v>44.186082482338001</v>
          </cell>
          <cell r="H15">
            <v>33.420321345329299</v>
          </cell>
          <cell r="I15">
            <v>8.1844843924045598</v>
          </cell>
          <cell r="J15">
            <v>0</v>
          </cell>
          <cell r="K15">
            <v>0</v>
          </cell>
          <cell r="L15">
            <v>8.3469836681615596E-3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0.24212023708969399</v>
          </cell>
          <cell r="S15">
            <v>0</v>
          </cell>
          <cell r="T15">
            <v>45.040374755859403</v>
          </cell>
        </row>
        <row r="16">
          <cell r="A16" t="str">
            <v>ISP_GORSUCH</v>
          </cell>
          <cell r="B16" t="str">
            <v>Gorsuch</v>
          </cell>
          <cell r="C16">
            <v>1.22627827171305</v>
          </cell>
          <cell r="D16">
            <v>0</v>
          </cell>
          <cell r="E16">
            <v>0</v>
          </cell>
          <cell r="F16">
            <v>35.066482424736002</v>
          </cell>
          <cell r="G16">
            <v>20.293790102005001</v>
          </cell>
          <cell r="H16">
            <v>10.08141040802</v>
          </cell>
          <cell r="I16">
            <v>6.3404873013496399</v>
          </cell>
          <cell r="J16">
            <v>0</v>
          </cell>
          <cell r="K16">
            <v>6.6929765045642897</v>
          </cell>
          <cell r="L16">
            <v>3.53005714714527</v>
          </cell>
          <cell r="M16">
            <v>16.525524854659999</v>
          </cell>
          <cell r="N16">
            <v>0</v>
          </cell>
          <cell r="O16">
            <v>0</v>
          </cell>
          <cell r="P16">
            <v>1.4692752622067899</v>
          </cell>
          <cell r="Q16">
            <v>0</v>
          </cell>
          <cell r="R16">
            <v>0</v>
          </cell>
          <cell r="S16">
            <v>0</v>
          </cell>
          <cell r="T16">
            <v>21.5356140136719</v>
          </cell>
        </row>
        <row r="17">
          <cell r="A17" t="str">
            <v>ISP_GRIFFIN</v>
          </cell>
          <cell r="B17" t="str">
            <v>Griffin</v>
          </cell>
          <cell r="C17">
            <v>41.881572729277899</v>
          </cell>
          <cell r="D17">
            <v>2.79359141131863E-2</v>
          </cell>
          <cell r="E17">
            <v>0</v>
          </cell>
          <cell r="F17">
            <v>1.95170547813177</v>
          </cell>
          <cell r="G17">
            <v>0.41677844710648099</v>
          </cell>
          <cell r="H17">
            <v>6.4467494667042003E-3</v>
          </cell>
          <cell r="I17">
            <v>0</v>
          </cell>
          <cell r="J17">
            <v>2.3638080165255801E-2</v>
          </cell>
          <cell r="K17">
            <v>0.27788446750491902</v>
          </cell>
          <cell r="L17">
            <v>70.599329471588106</v>
          </cell>
          <cell r="M17">
            <v>7.0137009024620101</v>
          </cell>
          <cell r="N17">
            <v>10.6340482831001</v>
          </cell>
          <cell r="O17">
            <v>3.2478060573339498</v>
          </cell>
          <cell r="P17">
            <v>1.39861615025438E-2</v>
          </cell>
          <cell r="Q17">
            <v>0</v>
          </cell>
          <cell r="R17">
            <v>5.6576512753963497</v>
          </cell>
          <cell r="S17">
            <v>0.129081984050572</v>
          </cell>
          <cell r="T17">
            <v>0.30042752623558</v>
          </cell>
        </row>
        <row r="18">
          <cell r="A18" t="str">
            <v>ISP_IDYLWOOD</v>
          </cell>
          <cell r="B18" t="str">
            <v>Idylwood</v>
          </cell>
          <cell r="C18">
            <v>1.5982777951934699</v>
          </cell>
          <cell r="D18">
            <v>0</v>
          </cell>
          <cell r="E18">
            <v>0</v>
          </cell>
          <cell r="F18">
            <v>12.4858230352402</v>
          </cell>
          <cell r="G18">
            <v>47.748738527298002</v>
          </cell>
          <cell r="H18">
            <v>36.755487322807298</v>
          </cell>
          <cell r="I18">
            <v>0.47597265802323802</v>
          </cell>
          <cell r="J18">
            <v>0</v>
          </cell>
          <cell r="K18">
            <v>0</v>
          </cell>
          <cell r="L18">
            <v>1.91456079483032</v>
          </cell>
          <cell r="M18">
            <v>0.61941673047840595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41.580722808837898</v>
          </cell>
        </row>
        <row r="19">
          <cell r="A19" t="str">
            <v>ISP_ISSAQUAH_DS</v>
          </cell>
          <cell r="B19" t="str">
            <v>Issaquah</v>
          </cell>
          <cell r="C19">
            <v>148.775586364746</v>
          </cell>
          <cell r="D19">
            <v>9.92098241113126E-2</v>
          </cell>
          <cell r="E19">
            <v>0</v>
          </cell>
          <cell r="F19">
            <v>12.4027252197266</v>
          </cell>
          <cell r="G19">
            <v>6.6814117133617401</v>
          </cell>
          <cell r="H19">
            <v>5.0475139170885104</v>
          </cell>
          <cell r="I19">
            <v>0.83986287936568305</v>
          </cell>
          <cell r="J19">
            <v>0.10971856536343701</v>
          </cell>
          <cell r="K19">
            <v>6.3902057707309696</v>
          </cell>
          <cell r="L19">
            <v>33.454686403274501</v>
          </cell>
          <cell r="M19">
            <v>28.086066246032701</v>
          </cell>
          <cell r="N19">
            <v>1.60492714494467</v>
          </cell>
          <cell r="O19">
            <v>1.09287211671472</v>
          </cell>
          <cell r="P19">
            <v>2.4715105071663901</v>
          </cell>
          <cell r="Q19">
            <v>0</v>
          </cell>
          <cell r="R19">
            <v>1.46717010065913</v>
          </cell>
          <cell r="S19">
            <v>0.252121710218489</v>
          </cell>
          <cell r="T19">
            <v>7.3361968994140598</v>
          </cell>
        </row>
        <row r="20">
          <cell r="A20" t="str">
            <v>ISP_ISSAQUAH_US</v>
          </cell>
          <cell r="B20" t="str">
            <v>Issaquah</v>
          </cell>
          <cell r="C20">
            <v>109.592728554326</v>
          </cell>
          <cell r="D20">
            <v>0.11332868598401501</v>
          </cell>
          <cell r="E20">
            <v>0</v>
          </cell>
          <cell r="F20">
            <v>14.058989286422699</v>
          </cell>
          <cell r="G20">
            <v>5.6599896401166898</v>
          </cell>
          <cell r="H20">
            <v>0.79297944903373696</v>
          </cell>
          <cell r="I20">
            <v>2.9850236023776199E-2</v>
          </cell>
          <cell r="J20">
            <v>6.4360507531091599E-2</v>
          </cell>
          <cell r="K20">
            <v>7.6008625328540802</v>
          </cell>
          <cell r="L20">
            <v>34.587028622627301</v>
          </cell>
          <cell r="M20">
            <v>28.803268074989301</v>
          </cell>
          <cell r="N20">
            <v>2.13575828820467</v>
          </cell>
          <cell r="O20">
            <v>1.27473967149854</v>
          </cell>
          <cell r="P20">
            <v>3.2723896205425298</v>
          </cell>
          <cell r="Q20">
            <v>0</v>
          </cell>
          <cell r="R20">
            <v>1.3315347023308299</v>
          </cell>
          <cell r="S20">
            <v>0.27492293156683401</v>
          </cell>
          <cell r="T20">
            <v>3.6021685600280802</v>
          </cell>
        </row>
        <row r="21">
          <cell r="A21" t="str">
            <v>ISP_JENKINS</v>
          </cell>
          <cell r="B21" t="str">
            <v>Jenkins</v>
          </cell>
          <cell r="C21">
            <v>44.257084621764101</v>
          </cell>
          <cell r="D21">
            <v>1.58008597791195</v>
          </cell>
          <cell r="E21">
            <v>0</v>
          </cell>
          <cell r="F21">
            <v>26.271170377731298</v>
          </cell>
          <cell r="G21">
            <v>24.551501870155299</v>
          </cell>
          <cell r="H21">
            <v>19.085082411766098</v>
          </cell>
          <cell r="I21">
            <v>3.0860960483550999</v>
          </cell>
          <cell r="J21">
            <v>0.697515439242125</v>
          </cell>
          <cell r="K21">
            <v>2.1360307931900002</v>
          </cell>
          <cell r="L21">
            <v>8.00822004675865</v>
          </cell>
          <cell r="M21">
            <v>7.8654482960700998</v>
          </cell>
          <cell r="N21">
            <v>0.23792800493538399</v>
          </cell>
          <cell r="O21">
            <v>0.25129381101578502</v>
          </cell>
          <cell r="P21">
            <v>1.3707852922379999</v>
          </cell>
          <cell r="Q21">
            <v>0</v>
          </cell>
          <cell r="R21">
            <v>4.57210801541805</v>
          </cell>
          <cell r="S21">
            <v>0.28673375491052899</v>
          </cell>
          <cell r="T21">
            <v>25.600465774536101</v>
          </cell>
        </row>
        <row r="22">
          <cell r="A22" t="str">
            <v>ISP_JUANITA</v>
          </cell>
          <cell r="B22" t="str">
            <v>Juanita</v>
          </cell>
          <cell r="C22">
            <v>18.022832893497799</v>
          </cell>
          <cell r="D22">
            <v>4.4942990643903599E-2</v>
          </cell>
          <cell r="E22">
            <v>0</v>
          </cell>
          <cell r="F22">
            <v>13.474999368190799</v>
          </cell>
          <cell r="G22">
            <v>32.8931421041489</v>
          </cell>
          <cell r="H22">
            <v>42.544412612915004</v>
          </cell>
          <cell r="I22">
            <v>8.1963844597339595</v>
          </cell>
          <cell r="J22">
            <v>0</v>
          </cell>
          <cell r="K22">
            <v>0.57715205475688003</v>
          </cell>
          <cell r="L22">
            <v>0.48438557423651202</v>
          </cell>
          <cell r="M22">
            <v>1.0505138896405699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0.69911321625113498</v>
          </cell>
          <cell r="S22">
            <v>3.4955659066326902E-2</v>
          </cell>
          <cell r="T22">
            <v>46.3825492858887</v>
          </cell>
        </row>
        <row r="23">
          <cell r="A23" t="str">
            <v>ISP_JUDD</v>
          </cell>
          <cell r="B23" t="str">
            <v>Judd</v>
          </cell>
          <cell r="C23">
            <v>12.396353815308901</v>
          </cell>
          <cell r="D23">
            <v>0</v>
          </cell>
          <cell r="E23">
            <v>0</v>
          </cell>
          <cell r="F23">
            <v>15.970160067081499</v>
          </cell>
          <cell r="G23">
            <v>5.1592014729976698</v>
          </cell>
          <cell r="H23">
            <v>1.54226068407297</v>
          </cell>
          <cell r="I23">
            <v>0.29040796216577303</v>
          </cell>
          <cell r="J23">
            <v>0</v>
          </cell>
          <cell r="K23">
            <v>6.0311939567327499</v>
          </cell>
          <cell r="L23">
            <v>30.323618650436401</v>
          </cell>
          <cell r="M23">
            <v>23.900982737541199</v>
          </cell>
          <cell r="N23">
            <v>0.26862737722694902</v>
          </cell>
          <cell r="O23">
            <v>0.196025380864739</v>
          </cell>
          <cell r="P23">
            <v>11.976962536573399</v>
          </cell>
          <cell r="Q23">
            <v>0</v>
          </cell>
          <cell r="R23">
            <v>3.9557654410600702</v>
          </cell>
          <cell r="S23">
            <v>0.384790566749871</v>
          </cell>
          <cell r="T23">
            <v>4.3650093078613299</v>
          </cell>
        </row>
        <row r="24">
          <cell r="A24" t="str">
            <v>ISP_LAUGHING_JACOBS</v>
          </cell>
          <cell r="B24" t="str">
            <v>Laughing Jacobs</v>
          </cell>
          <cell r="C24">
            <v>13.7369804315269</v>
          </cell>
          <cell r="D24">
            <v>2.0768756046891199</v>
          </cell>
          <cell r="E24">
            <v>0</v>
          </cell>
          <cell r="F24">
            <v>28.574994206428499</v>
          </cell>
          <cell r="G24">
            <v>24.683009088039402</v>
          </cell>
          <cell r="H24">
            <v>20.420004427433</v>
          </cell>
          <cell r="I24">
            <v>1.1184330098330999</v>
          </cell>
          <cell r="J24">
            <v>0</v>
          </cell>
          <cell r="K24">
            <v>2.6641562581062299</v>
          </cell>
          <cell r="L24">
            <v>8.1475041806697792</v>
          </cell>
          <cell r="M24">
            <v>7.9414464533329001</v>
          </cell>
          <cell r="N24">
            <v>0</v>
          </cell>
          <cell r="O24">
            <v>0</v>
          </cell>
          <cell r="P24">
            <v>1.8178881146013699E-2</v>
          </cell>
          <cell r="Q24">
            <v>0</v>
          </cell>
          <cell r="R24">
            <v>3.3202394843101501</v>
          </cell>
          <cell r="S24">
            <v>1.0351619683206099</v>
          </cell>
          <cell r="T24">
            <v>24.907655715942401</v>
          </cell>
        </row>
        <row r="25">
          <cell r="A25" t="str">
            <v>ISP_LEWIS</v>
          </cell>
          <cell r="B25" t="str">
            <v>Lewis</v>
          </cell>
          <cell r="C25">
            <v>4.1837016875987398</v>
          </cell>
          <cell r="D25">
            <v>0</v>
          </cell>
          <cell r="E25">
            <v>0</v>
          </cell>
          <cell r="F25">
            <v>21.1787045001984</v>
          </cell>
          <cell r="G25">
            <v>30.1964610815048</v>
          </cell>
          <cell r="H25">
            <v>26.7769038677216</v>
          </cell>
          <cell r="I25">
            <v>0.686510559171438</v>
          </cell>
          <cell r="J25">
            <v>0</v>
          </cell>
          <cell r="K25">
            <v>2.0050136372447001</v>
          </cell>
          <cell r="L25">
            <v>3.2386027276516001</v>
          </cell>
          <cell r="M25">
            <v>15.917800366878501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29.496578216552699</v>
          </cell>
        </row>
        <row r="26">
          <cell r="A26" t="str">
            <v>ISP_LITTLE_BEAR_DS</v>
          </cell>
          <cell r="B26" t="str">
            <v>Little Bear</v>
          </cell>
          <cell r="C26">
            <v>39.223016357895901</v>
          </cell>
          <cell r="D26">
            <v>1.37674272991717E-2</v>
          </cell>
          <cell r="E26">
            <v>0</v>
          </cell>
          <cell r="F26">
            <v>36.654472351074197</v>
          </cell>
          <cell r="G26">
            <v>24.4031310081482</v>
          </cell>
          <cell r="H26">
            <v>13.045680522918699</v>
          </cell>
          <cell r="I26">
            <v>4.4664159417152396</v>
          </cell>
          <cell r="J26">
            <v>0</v>
          </cell>
          <cell r="K26">
            <v>1.0329895652830601</v>
          </cell>
          <cell r="L26">
            <v>8.7406896054744703</v>
          </cell>
          <cell r="M26">
            <v>6.4344830811023703</v>
          </cell>
          <cell r="N26">
            <v>3.6268561962060603E-2</v>
          </cell>
          <cell r="O26">
            <v>0</v>
          </cell>
          <cell r="P26">
            <v>0.48459498211741397</v>
          </cell>
          <cell r="Q26">
            <v>0</v>
          </cell>
          <cell r="R26">
            <v>4.4511687010526702</v>
          </cell>
          <cell r="S26">
            <v>0.23634082172066001</v>
          </cell>
          <cell r="T26">
            <v>23.755723953247099</v>
          </cell>
        </row>
        <row r="27">
          <cell r="A27" t="str">
            <v>ISP_LITTLE_BEAR_US</v>
          </cell>
          <cell r="B27" t="str">
            <v>Little Bear</v>
          </cell>
          <cell r="C27">
            <v>14.558849195983401</v>
          </cell>
          <cell r="D27">
            <v>1.85454220627435E-2</v>
          </cell>
          <cell r="E27">
            <v>0</v>
          </cell>
          <cell r="F27">
            <v>35.549572110176101</v>
          </cell>
          <cell r="G27">
            <v>23.3136877417564</v>
          </cell>
          <cell r="H27">
            <v>12.2437499463558</v>
          </cell>
          <cell r="I27">
            <v>0.49948315136134602</v>
          </cell>
          <cell r="J27">
            <v>0</v>
          </cell>
          <cell r="K27">
            <v>0.46363556757569302</v>
          </cell>
          <cell r="L27">
            <v>13.037197291850999</v>
          </cell>
          <cell r="M27">
            <v>7.3836438357830003</v>
          </cell>
          <cell r="N27">
            <v>8.3804468158632503E-2</v>
          </cell>
          <cell r="O27">
            <v>0</v>
          </cell>
          <cell r="P27">
            <v>0.16823715995997199</v>
          </cell>
          <cell r="Q27">
            <v>0</v>
          </cell>
          <cell r="R27">
            <v>6.8242624402046204</v>
          </cell>
          <cell r="S27">
            <v>0.41418108157813499</v>
          </cell>
          <cell r="T27">
            <v>19.237211227416999</v>
          </cell>
        </row>
        <row r="28">
          <cell r="A28" t="str">
            <v>ISP_LITTLE_SOOS</v>
          </cell>
          <cell r="B28" t="str">
            <v>Little Soos</v>
          </cell>
          <cell r="C28">
            <v>8.3960449746188104</v>
          </cell>
          <cell r="D28">
            <v>4.8474730647285501E-4</v>
          </cell>
          <cell r="E28">
            <v>0</v>
          </cell>
          <cell r="F28">
            <v>34.723845124244697</v>
          </cell>
          <cell r="G28">
            <v>22.485761344432799</v>
          </cell>
          <cell r="H28">
            <v>13.011938333511401</v>
          </cell>
          <cell r="I28">
            <v>1.1978236958384501</v>
          </cell>
          <cell r="J28">
            <v>0</v>
          </cell>
          <cell r="K28">
            <v>2.09423564374447</v>
          </cell>
          <cell r="L28">
            <v>10.686980932951</v>
          </cell>
          <cell r="M28">
            <v>7.2327435016632098</v>
          </cell>
          <cell r="N28">
            <v>4.2877331725321703E-2</v>
          </cell>
          <cell r="O28">
            <v>4.2877331725321703E-2</v>
          </cell>
          <cell r="P28">
            <v>4.1176661849021903</v>
          </cell>
          <cell r="Q28">
            <v>0</v>
          </cell>
          <cell r="R28">
            <v>3.0442906543612498</v>
          </cell>
          <cell r="S28">
            <v>1.31847802549601</v>
          </cell>
          <cell r="T28">
            <v>20.157539367675799</v>
          </cell>
        </row>
        <row r="29">
          <cell r="A29" t="str">
            <v>ISP_LONGFELLOW</v>
          </cell>
          <cell r="B29" t="str">
            <v>Longfellow</v>
          </cell>
          <cell r="C29">
            <v>9.2180523326926096</v>
          </cell>
          <cell r="D29">
            <v>0</v>
          </cell>
          <cell r="E29">
            <v>0</v>
          </cell>
          <cell r="F29">
            <v>15.1170983910561</v>
          </cell>
          <cell r="G29">
            <v>16.823238134384201</v>
          </cell>
          <cell r="H29">
            <v>57.173275947570801</v>
          </cell>
          <cell r="I29">
            <v>8.5529230535030401</v>
          </cell>
          <cell r="J29">
            <v>0</v>
          </cell>
          <cell r="K29">
            <v>0.60533396899700198</v>
          </cell>
          <cell r="L29">
            <v>0.107397953979671</v>
          </cell>
          <cell r="M29">
            <v>0.72249537333846103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0.89823743328452099</v>
          </cell>
          <cell r="S29">
            <v>0</v>
          </cell>
          <cell r="T29">
            <v>49.990440368652301</v>
          </cell>
        </row>
        <row r="30">
          <cell r="A30" t="str">
            <v>ISP_LYON</v>
          </cell>
          <cell r="B30" t="str">
            <v>Lyon</v>
          </cell>
          <cell r="C30">
            <v>10.2207817650712</v>
          </cell>
          <cell r="D30">
            <v>0</v>
          </cell>
          <cell r="E30">
            <v>0</v>
          </cell>
          <cell r="F30">
            <v>20.9300354123116</v>
          </cell>
          <cell r="G30">
            <v>43.913343548774698</v>
          </cell>
          <cell r="H30">
            <v>29.563665390014599</v>
          </cell>
          <cell r="I30">
            <v>3.34938652813435</v>
          </cell>
          <cell r="J30">
            <v>0</v>
          </cell>
          <cell r="K30">
            <v>0</v>
          </cell>
          <cell r="L30">
            <v>1.30137242376804</v>
          </cell>
          <cell r="M30">
            <v>0.59878006577491805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0.34341795835644001</v>
          </cell>
          <cell r="S30">
            <v>0</v>
          </cell>
          <cell r="T30">
            <v>38.0432739257812</v>
          </cell>
        </row>
        <row r="31">
          <cell r="A31" t="str">
            <v>ISP_MAPLEWOOD</v>
          </cell>
          <cell r="B31" t="str">
            <v>Maplewood</v>
          </cell>
          <cell r="C31">
            <v>3.8686165361351001</v>
          </cell>
          <cell r="D31">
            <v>0</v>
          </cell>
          <cell r="E31">
            <v>0</v>
          </cell>
          <cell r="F31">
            <v>11.953017115592999</v>
          </cell>
          <cell r="G31">
            <v>27.572554349899299</v>
          </cell>
          <cell r="H31">
            <v>47.828161716461203</v>
          </cell>
          <cell r="I31">
            <v>6.7490823566913596</v>
          </cell>
          <cell r="J31">
            <v>0</v>
          </cell>
          <cell r="K31">
            <v>0.67103751935064804</v>
          </cell>
          <cell r="L31">
            <v>1.12497098743916</v>
          </cell>
          <cell r="M31">
            <v>4.1011758148670197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47.698879241943402</v>
          </cell>
        </row>
        <row r="32">
          <cell r="A32" t="str">
            <v>ISP_MAY</v>
          </cell>
          <cell r="B32" t="str">
            <v>May</v>
          </cell>
          <cell r="C32">
            <v>36.152286021789998</v>
          </cell>
          <cell r="D32">
            <v>0.53025693632662296</v>
          </cell>
          <cell r="E32">
            <v>0</v>
          </cell>
          <cell r="F32">
            <v>20.837247371673602</v>
          </cell>
          <cell r="G32">
            <v>20.319277048111001</v>
          </cell>
          <cell r="H32">
            <v>16.3012504577637</v>
          </cell>
          <cell r="I32">
            <v>0.99825840443372704</v>
          </cell>
          <cell r="J32">
            <v>9.9578763183671998E-3</v>
          </cell>
          <cell r="K32">
            <v>6.3249491155147597</v>
          </cell>
          <cell r="L32">
            <v>7.4317477643489802</v>
          </cell>
          <cell r="M32">
            <v>23.006589710712401</v>
          </cell>
          <cell r="N32">
            <v>6.4726197160780402E-2</v>
          </cell>
          <cell r="O32">
            <v>8.7131420150399194E-2</v>
          </cell>
          <cell r="P32">
            <v>1.5414478257298501</v>
          </cell>
          <cell r="Q32">
            <v>0</v>
          </cell>
          <cell r="R32">
            <v>1.36907640844584</v>
          </cell>
          <cell r="S32">
            <v>1.17808440700173</v>
          </cell>
          <cell r="T32">
            <v>19.869703292846701</v>
          </cell>
        </row>
        <row r="33">
          <cell r="A33" t="str">
            <v>ISP_MCALEER</v>
          </cell>
          <cell r="B33" t="str">
            <v>McAleer</v>
          </cell>
          <cell r="C33">
            <v>21.3984103475239</v>
          </cell>
          <cell r="D33">
            <v>2.0440770313143699</v>
          </cell>
          <cell r="E33">
            <v>0</v>
          </cell>
          <cell r="F33">
            <v>14.8607611656189</v>
          </cell>
          <cell r="G33">
            <v>34.959715604782097</v>
          </cell>
          <cell r="H33">
            <v>36.725074052810697</v>
          </cell>
          <cell r="I33">
            <v>10.8215421438217</v>
          </cell>
          <cell r="J33">
            <v>0</v>
          </cell>
          <cell r="K33">
            <v>0</v>
          </cell>
          <cell r="L33">
            <v>0.15561903128400401</v>
          </cell>
          <cell r="M33">
            <v>0.22711968049407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0.14720719773322299</v>
          </cell>
          <cell r="S33">
            <v>5.88828756008297E-2</v>
          </cell>
          <cell r="T33">
            <v>46.454967498779297</v>
          </cell>
        </row>
        <row r="34">
          <cell r="A34" t="str">
            <v>ISP_MILL</v>
          </cell>
          <cell r="B34" t="str">
            <v>Mill</v>
          </cell>
          <cell r="C34">
            <v>5.7290877797160604</v>
          </cell>
          <cell r="D34">
            <v>0</v>
          </cell>
          <cell r="E34">
            <v>0</v>
          </cell>
          <cell r="F34">
            <v>19.429972767829899</v>
          </cell>
          <cell r="G34">
            <v>26.5132397413254</v>
          </cell>
          <cell r="H34">
            <v>39.464044570922901</v>
          </cell>
          <cell r="I34">
            <v>9.7555890679359401</v>
          </cell>
          <cell r="J34">
            <v>0</v>
          </cell>
          <cell r="K34">
            <v>0.85647329688072205</v>
          </cell>
          <cell r="L34">
            <v>0.93307364732027098</v>
          </cell>
          <cell r="M34">
            <v>2.4506518617272399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0.59695364907383897</v>
          </cell>
          <cell r="S34">
            <v>0</v>
          </cell>
          <cell r="T34">
            <v>44.697330474853501</v>
          </cell>
        </row>
        <row r="35">
          <cell r="A35" t="str">
            <v>ISP_MILLER</v>
          </cell>
          <cell r="B35" t="str">
            <v>Miller</v>
          </cell>
          <cell r="C35">
            <v>18.579458523314401</v>
          </cell>
          <cell r="D35">
            <v>0.83802221342921301</v>
          </cell>
          <cell r="E35">
            <v>0</v>
          </cell>
          <cell r="F35">
            <v>11.9934052228928</v>
          </cell>
          <cell r="G35">
            <v>29.011833667755099</v>
          </cell>
          <cell r="H35">
            <v>43.693462014198303</v>
          </cell>
          <cell r="I35">
            <v>13.5366693139076</v>
          </cell>
          <cell r="J35">
            <v>0</v>
          </cell>
          <cell r="K35">
            <v>0.156686699483544</v>
          </cell>
          <cell r="L35">
            <v>4.8440590035170299E-3</v>
          </cell>
          <cell r="M35">
            <v>0.36937012337148201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0.39570098742842702</v>
          </cell>
          <cell r="S35">
            <v>0</v>
          </cell>
          <cell r="T35">
            <v>50.339157104492202</v>
          </cell>
        </row>
        <row r="36">
          <cell r="A36" t="str">
            <v>ISP_MOLASSES</v>
          </cell>
          <cell r="B36" t="str">
            <v>Molasses</v>
          </cell>
          <cell r="C36">
            <v>4.6245957437989302</v>
          </cell>
          <cell r="D36">
            <v>0</v>
          </cell>
          <cell r="E36">
            <v>0</v>
          </cell>
          <cell r="F36">
            <v>24.0820094943047</v>
          </cell>
          <cell r="G36">
            <v>26.612105965614301</v>
          </cell>
          <cell r="H36">
            <v>27.771651744842501</v>
          </cell>
          <cell r="I36">
            <v>3.3474817872047402</v>
          </cell>
          <cell r="J36">
            <v>0</v>
          </cell>
          <cell r="K36">
            <v>1.4400953426957099</v>
          </cell>
          <cell r="L36">
            <v>4.2780444025993303</v>
          </cell>
          <cell r="M36">
            <v>7.4499316513538396</v>
          </cell>
          <cell r="N36">
            <v>9.7305799135938301E-2</v>
          </cell>
          <cell r="O36">
            <v>0</v>
          </cell>
          <cell r="P36">
            <v>0</v>
          </cell>
          <cell r="Q36">
            <v>0</v>
          </cell>
          <cell r="R36">
            <v>4.85814772546291</v>
          </cell>
          <cell r="S36">
            <v>6.3220475567504805E-2</v>
          </cell>
          <cell r="T36">
            <v>31.440233230590799</v>
          </cell>
        </row>
        <row r="37">
          <cell r="A37" t="str">
            <v>ISP_NORTH</v>
          </cell>
          <cell r="B37" t="str">
            <v>North</v>
          </cell>
          <cell r="C37">
            <v>69.384772948851094</v>
          </cell>
          <cell r="D37">
            <v>0.66931108012795404</v>
          </cell>
          <cell r="E37">
            <v>0</v>
          </cell>
          <cell r="F37">
            <v>17.895619571209</v>
          </cell>
          <cell r="G37">
            <v>29.7491759061813</v>
          </cell>
          <cell r="H37">
            <v>37.107130885124199</v>
          </cell>
          <cell r="I37">
            <v>7.1564473211765298</v>
          </cell>
          <cell r="J37">
            <v>0</v>
          </cell>
          <cell r="K37">
            <v>0.27021004352718597</v>
          </cell>
          <cell r="L37">
            <v>1.19617432355881</v>
          </cell>
          <cell r="M37">
            <v>1.25299729406834</v>
          </cell>
          <cell r="N37">
            <v>1.5484320101677401E-3</v>
          </cell>
          <cell r="O37">
            <v>0</v>
          </cell>
          <cell r="P37">
            <v>1.7910618043970299E-2</v>
          </cell>
          <cell r="Q37">
            <v>0</v>
          </cell>
          <cell r="R37">
            <v>3.0906168743968001</v>
          </cell>
          <cell r="S37">
            <v>1.59285664558411</v>
          </cell>
          <cell r="T37">
            <v>42.0156440734863</v>
          </cell>
        </row>
        <row r="38">
          <cell r="A38" t="str">
            <v>ISP_OLSON</v>
          </cell>
          <cell r="B38" t="str">
            <v>Olson</v>
          </cell>
          <cell r="C38">
            <v>4.5450014075576304</v>
          </cell>
          <cell r="D38">
            <v>1.98019741219468E-2</v>
          </cell>
          <cell r="E38">
            <v>0</v>
          </cell>
          <cell r="F38">
            <v>34.139990806579597</v>
          </cell>
          <cell r="G38">
            <v>24.8458936810494</v>
          </cell>
          <cell r="H38">
            <v>21.3758006691933</v>
          </cell>
          <cell r="I38">
            <v>1.56131936237216</v>
          </cell>
          <cell r="J38">
            <v>0</v>
          </cell>
          <cell r="K38">
            <v>4.0990088135003999</v>
          </cell>
          <cell r="L38">
            <v>0.76758000068366505</v>
          </cell>
          <cell r="M38">
            <v>5.9628833085298503</v>
          </cell>
          <cell r="N38">
            <v>0</v>
          </cell>
          <cell r="O38">
            <v>0</v>
          </cell>
          <cell r="P38">
            <v>1.7425738275051099</v>
          </cell>
          <cell r="Q38">
            <v>0</v>
          </cell>
          <cell r="R38">
            <v>2.5544546544551801</v>
          </cell>
          <cell r="S38">
            <v>2.9306922107935001</v>
          </cell>
          <cell r="T38">
            <v>26.596687316894499</v>
          </cell>
        </row>
        <row r="39">
          <cell r="A39" t="str">
            <v>ISP_PATTERSON</v>
          </cell>
          <cell r="B39" t="str">
            <v>Patterson</v>
          </cell>
          <cell r="C39">
            <v>39.518710073950103</v>
          </cell>
          <cell r="D39">
            <v>2.5051424745470299E-2</v>
          </cell>
          <cell r="E39">
            <v>0</v>
          </cell>
          <cell r="F39">
            <v>20.097509026527401</v>
          </cell>
          <cell r="G39">
            <v>11.4748239517212</v>
          </cell>
          <cell r="H39">
            <v>4.55170758068562</v>
          </cell>
          <cell r="I39">
            <v>4.5832080650143298E-2</v>
          </cell>
          <cell r="J39">
            <v>0</v>
          </cell>
          <cell r="K39">
            <v>12.974481284618401</v>
          </cell>
          <cell r="L39">
            <v>11.055861413478899</v>
          </cell>
          <cell r="M39">
            <v>29.593291878700299</v>
          </cell>
          <cell r="N39">
            <v>0.19644927233457599</v>
          </cell>
          <cell r="O39">
            <v>0.206480990163982</v>
          </cell>
          <cell r="P39">
            <v>2.4559635668993001</v>
          </cell>
          <cell r="Q39">
            <v>0</v>
          </cell>
          <cell r="R39">
            <v>4.4644095003604898</v>
          </cell>
          <cell r="S39">
            <v>2.8581311926245698</v>
          </cell>
          <cell r="T39">
            <v>8.3620071411132795</v>
          </cell>
        </row>
        <row r="40">
          <cell r="A40" t="str">
            <v>ISP_PINE_LAKE</v>
          </cell>
          <cell r="B40" t="str">
            <v>Pine Lake</v>
          </cell>
          <cell r="C40">
            <v>5.0227611754675197</v>
          </cell>
          <cell r="D40">
            <v>6.1639402061700803</v>
          </cell>
          <cell r="E40">
            <v>0</v>
          </cell>
          <cell r="F40">
            <v>34.692233800888097</v>
          </cell>
          <cell r="G40">
            <v>24.921637773513801</v>
          </cell>
          <cell r="H40">
            <v>10.418414324522001</v>
          </cell>
          <cell r="I40">
            <v>0.308596901595592</v>
          </cell>
          <cell r="J40">
            <v>0</v>
          </cell>
          <cell r="K40">
            <v>0.60620578005909898</v>
          </cell>
          <cell r="L40">
            <v>4.9298785626888302</v>
          </cell>
          <cell r="M40">
            <v>12.7030730247498</v>
          </cell>
          <cell r="N40">
            <v>0</v>
          </cell>
          <cell r="O40">
            <v>0</v>
          </cell>
          <cell r="P40">
            <v>0.931758433580399</v>
          </cell>
          <cell r="Q40">
            <v>0</v>
          </cell>
          <cell r="R40">
            <v>2.7295198291540101</v>
          </cell>
          <cell r="S40">
            <v>1.5947403386235199</v>
          </cell>
          <cell r="T40">
            <v>18.458576202392599</v>
          </cell>
        </row>
        <row r="41">
          <cell r="A41" t="str">
            <v>ISP_PIPERS</v>
          </cell>
          <cell r="B41" t="str">
            <v>Pipers</v>
          </cell>
          <cell r="C41">
            <v>7.2169689114037299</v>
          </cell>
          <cell r="D41">
            <v>0</v>
          </cell>
          <cell r="E41">
            <v>0</v>
          </cell>
          <cell r="F41">
            <v>6.6797614097595197</v>
          </cell>
          <cell r="G41">
            <v>23.874329030513799</v>
          </cell>
          <cell r="H41">
            <v>56.2903344631195</v>
          </cell>
          <cell r="I41">
            <v>6.8378612399101302</v>
          </cell>
          <cell r="J41">
            <v>0</v>
          </cell>
          <cell r="K41">
            <v>0.174588523805141</v>
          </cell>
          <cell r="L41">
            <v>0.162117916624993</v>
          </cell>
          <cell r="M41">
            <v>3.5492401570081702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2.4317687377333601</v>
          </cell>
          <cell r="S41">
            <v>0</v>
          </cell>
          <cell r="T41">
            <v>50.016532897949197</v>
          </cell>
        </row>
        <row r="42">
          <cell r="A42" t="str">
            <v>ISP_RAVENSDALE</v>
          </cell>
          <cell r="B42" t="str">
            <v>Ravensdale</v>
          </cell>
          <cell r="C42">
            <v>8.42564644135539</v>
          </cell>
          <cell r="D42">
            <v>0.99339559674263</v>
          </cell>
          <cell r="E42">
            <v>0</v>
          </cell>
          <cell r="F42">
            <v>5.5407732725143397</v>
          </cell>
          <cell r="G42">
            <v>5.8630324900150299</v>
          </cell>
          <cell r="H42">
            <v>5.8848947286605799</v>
          </cell>
          <cell r="I42">
            <v>0.26356088928878302</v>
          </cell>
          <cell r="J42">
            <v>1.3086635619401901</v>
          </cell>
          <cell r="K42">
            <v>2.40694973617792</v>
          </cell>
          <cell r="L42">
            <v>51.3145208358765</v>
          </cell>
          <cell r="M42">
            <v>8.0879822373390198</v>
          </cell>
          <cell r="N42">
            <v>9.0159133076667803</v>
          </cell>
          <cell r="O42">
            <v>2.6638250797987002</v>
          </cell>
          <cell r="P42">
            <v>1.32312942296267</v>
          </cell>
          <cell r="Q42">
            <v>0</v>
          </cell>
          <cell r="R42">
            <v>5.1838207989931098</v>
          </cell>
          <cell r="S42">
            <v>0.14954343205317899</v>
          </cell>
          <cell r="T42">
            <v>6.51253461837769</v>
          </cell>
        </row>
        <row r="43">
          <cell r="A43" t="str">
            <v>ISP_ROCK</v>
          </cell>
          <cell r="B43" t="str">
            <v>Rock</v>
          </cell>
          <cell r="C43">
            <v>39.322532116401099</v>
          </cell>
          <cell r="D43">
            <v>0.85370903834700596</v>
          </cell>
          <cell r="E43">
            <v>0</v>
          </cell>
          <cell r="F43">
            <v>9.0941838920116407</v>
          </cell>
          <cell r="G43">
            <v>6.08589388430119</v>
          </cell>
          <cell r="H43">
            <v>2.2055603563785602</v>
          </cell>
          <cell r="I43">
            <v>0.32831390853971198</v>
          </cell>
          <cell r="J43">
            <v>0.91829700395464897</v>
          </cell>
          <cell r="K43">
            <v>1.6431147232651699</v>
          </cell>
          <cell r="L43">
            <v>55.974155664443998</v>
          </cell>
          <cell r="M43">
            <v>11.097826063633001</v>
          </cell>
          <cell r="N43">
            <v>5.9491146355867404</v>
          </cell>
          <cell r="O43">
            <v>2.80225556343794</v>
          </cell>
          <cell r="P43">
            <v>0.80779949203133605</v>
          </cell>
          <cell r="Q43">
            <v>0</v>
          </cell>
          <cell r="R43">
            <v>2.2306153550744101</v>
          </cell>
          <cell r="S43">
            <v>9.1550566139631008E-3</v>
          </cell>
          <cell r="T43">
            <v>4.5569114685058603</v>
          </cell>
        </row>
        <row r="44">
          <cell r="A44" t="str">
            <v>ISP_SHINGLEMILL</v>
          </cell>
          <cell r="B44" t="str">
            <v>Shinglemill</v>
          </cell>
          <cell r="C44">
            <v>7.9610711556714699</v>
          </cell>
          <cell r="D44">
            <v>0</v>
          </cell>
          <cell r="E44">
            <v>0</v>
          </cell>
          <cell r="F44">
            <v>24.426481127738999</v>
          </cell>
          <cell r="G44">
            <v>7.2562053799629203</v>
          </cell>
          <cell r="H44">
            <v>1.5517559833824599</v>
          </cell>
          <cell r="I44">
            <v>0.59542427770793405</v>
          </cell>
          <cell r="J44">
            <v>0</v>
          </cell>
          <cell r="K44">
            <v>7.51952901482582</v>
          </cell>
          <cell r="L44">
            <v>15.6778812408447</v>
          </cell>
          <cell r="M44">
            <v>32.290542125701897</v>
          </cell>
          <cell r="N44">
            <v>0.18088017823174601</v>
          </cell>
          <cell r="O44">
            <v>0</v>
          </cell>
          <cell r="P44">
            <v>8.2288168370723707</v>
          </cell>
          <cell r="Q44">
            <v>0</v>
          </cell>
          <cell r="R44">
            <v>1.79767422378063</v>
          </cell>
          <cell r="S44">
            <v>0.47481046058237503</v>
          </cell>
          <cell r="T44">
            <v>6.1117019653320304</v>
          </cell>
        </row>
        <row r="45">
          <cell r="A45" t="str">
            <v>ISP_SOOS</v>
          </cell>
          <cell r="B45" t="str">
            <v>Soos</v>
          </cell>
          <cell r="C45">
            <v>170.06021159650899</v>
          </cell>
          <cell r="D45">
            <v>1.7813943326473201</v>
          </cell>
          <cell r="E45">
            <v>0</v>
          </cell>
          <cell r="F45">
            <v>25.000482797622698</v>
          </cell>
          <cell r="G45">
            <v>22.766776382923101</v>
          </cell>
          <cell r="H45">
            <v>15.801335871219599</v>
          </cell>
          <cell r="I45">
            <v>1.5041369013488299</v>
          </cell>
          <cell r="J45">
            <v>0.85518658161163297</v>
          </cell>
          <cell r="K45">
            <v>2.9914470389485399</v>
          </cell>
          <cell r="L45">
            <v>12.663985788822201</v>
          </cell>
          <cell r="M45">
            <v>7.8758127987384796</v>
          </cell>
          <cell r="N45">
            <v>1.2800152413546999</v>
          </cell>
          <cell r="O45">
            <v>0.41780415922403302</v>
          </cell>
          <cell r="P45">
            <v>2.0575117319822298</v>
          </cell>
          <cell r="Q45">
            <v>1.05844865174731E-3</v>
          </cell>
          <cell r="R45">
            <v>3.9293851703405398</v>
          </cell>
          <cell r="S45">
            <v>1.0736646130681</v>
          </cell>
          <cell r="T45">
            <v>21.300235748291001</v>
          </cell>
        </row>
        <row r="46">
          <cell r="A46" t="str">
            <v>ISP_SWAMP</v>
          </cell>
          <cell r="B46" t="str">
            <v>Swamp</v>
          </cell>
          <cell r="C46">
            <v>55.634334471278898</v>
          </cell>
          <cell r="D46">
            <v>0.52090138196945202</v>
          </cell>
          <cell r="E46">
            <v>0</v>
          </cell>
          <cell r="F46">
            <v>16.0942673683167</v>
          </cell>
          <cell r="G46">
            <v>27.588209509849499</v>
          </cell>
          <cell r="H46">
            <v>38.043856620788603</v>
          </cell>
          <cell r="I46">
            <v>13.4663358330727</v>
          </cell>
          <cell r="J46">
            <v>0</v>
          </cell>
          <cell r="K46">
            <v>0.329490168951452</v>
          </cell>
          <cell r="L46">
            <v>0.446520745754242</v>
          </cell>
          <cell r="M46">
            <v>0.49501806497573902</v>
          </cell>
          <cell r="N46">
            <v>0</v>
          </cell>
          <cell r="O46">
            <v>0</v>
          </cell>
          <cell r="P46">
            <v>1.6177060388145E-3</v>
          </cell>
          <cell r="Q46">
            <v>0</v>
          </cell>
          <cell r="R46">
            <v>2.8455479070544198</v>
          </cell>
          <cell r="S46">
            <v>0.16824143240228301</v>
          </cell>
          <cell r="T46">
            <v>47.128700256347699</v>
          </cell>
        </row>
        <row r="47">
          <cell r="A47" t="str">
            <v>ISP_TAHLEQUAH</v>
          </cell>
          <cell r="B47" t="str">
            <v>Tahlequah</v>
          </cell>
          <cell r="C47">
            <v>3.2219157519901001</v>
          </cell>
          <cell r="D47">
            <v>0</v>
          </cell>
          <cell r="E47">
            <v>0</v>
          </cell>
          <cell r="F47">
            <v>10.354010760784099</v>
          </cell>
          <cell r="G47">
            <v>1.44877964630723</v>
          </cell>
          <cell r="H47">
            <v>5.5867381161078797E-2</v>
          </cell>
          <cell r="I47">
            <v>0</v>
          </cell>
          <cell r="J47">
            <v>0</v>
          </cell>
          <cell r="K47">
            <v>3.30073721706867</v>
          </cell>
          <cell r="L47">
            <v>57.812720537185697</v>
          </cell>
          <cell r="M47">
            <v>26.181533932685898</v>
          </cell>
          <cell r="N47">
            <v>0.14730800176039299</v>
          </cell>
          <cell r="O47">
            <v>0.14036432839930099</v>
          </cell>
          <cell r="P47">
            <v>0.50280643627047505</v>
          </cell>
          <cell r="Q47">
            <v>0</v>
          </cell>
          <cell r="R47">
            <v>5.5867381161078797E-2</v>
          </cell>
          <cell r="S47">
            <v>0</v>
          </cell>
          <cell r="T47">
            <v>1.4255963563919101</v>
          </cell>
        </row>
        <row r="48">
          <cell r="A48" t="str">
            <v>ISP_TAYLOR</v>
          </cell>
          <cell r="B48" t="str">
            <v>Taylor</v>
          </cell>
          <cell r="C48">
            <v>2.6675475515852001</v>
          </cell>
          <cell r="D48">
            <v>0</v>
          </cell>
          <cell r="E48">
            <v>0</v>
          </cell>
          <cell r="F48">
            <v>16.664126515388499</v>
          </cell>
          <cell r="G48">
            <v>26.762482523918202</v>
          </cell>
          <cell r="H48">
            <v>47.806122899055502</v>
          </cell>
          <cell r="I48">
            <v>3.7497092038392998</v>
          </cell>
          <cell r="J48">
            <v>0</v>
          </cell>
          <cell r="K48">
            <v>1.06672029942274</v>
          </cell>
          <cell r="L48">
            <v>0</v>
          </cell>
          <cell r="M48">
            <v>1.285470277071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2.5641530752181998</v>
          </cell>
          <cell r="S48">
            <v>0.10121656814590101</v>
          </cell>
          <cell r="T48">
            <v>43.120925903320298</v>
          </cell>
        </row>
        <row r="49">
          <cell r="A49" t="str">
            <v>ISP_THORNTON</v>
          </cell>
          <cell r="B49" t="str">
            <v>Thornton</v>
          </cell>
          <cell r="C49">
            <v>27.4073630973656</v>
          </cell>
          <cell r="D49">
            <v>3.9405468851327903E-2</v>
          </cell>
          <cell r="E49">
            <v>0</v>
          </cell>
          <cell r="F49">
            <v>7.7585771679878199</v>
          </cell>
          <cell r="G49">
            <v>39.371702075004599</v>
          </cell>
          <cell r="H49">
            <v>41.988834738731398</v>
          </cell>
          <cell r="I49">
            <v>9.8661966621875798</v>
          </cell>
          <cell r="J49">
            <v>0</v>
          </cell>
          <cell r="K49">
            <v>0</v>
          </cell>
          <cell r="L49">
            <v>0.82094725221395504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0.15433809021487799</v>
          </cell>
          <cell r="S49">
            <v>0</v>
          </cell>
          <cell r="T49">
            <v>49.6357612609863</v>
          </cell>
        </row>
        <row r="50">
          <cell r="A50" t="str">
            <v>ISP_VASA</v>
          </cell>
          <cell r="B50" t="str">
            <v>Vasa</v>
          </cell>
          <cell r="C50">
            <v>5.2050236482828298</v>
          </cell>
          <cell r="D50">
            <v>0</v>
          </cell>
          <cell r="E50">
            <v>0</v>
          </cell>
          <cell r="F50">
            <v>20.396554470062298</v>
          </cell>
          <cell r="G50">
            <v>46.099996566772496</v>
          </cell>
          <cell r="H50">
            <v>25.483673810958901</v>
          </cell>
          <cell r="I50">
            <v>5.7288262993097296</v>
          </cell>
          <cell r="J50">
            <v>0</v>
          </cell>
          <cell r="K50">
            <v>5.1872967742383501E-2</v>
          </cell>
          <cell r="L50">
            <v>0.81258816644549403</v>
          </cell>
          <cell r="M50">
            <v>1.4264892786741299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39.1348686218262</v>
          </cell>
        </row>
        <row r="51">
          <cell r="A51" t="str">
            <v>ISP_VENEMA</v>
          </cell>
          <cell r="B51" t="str">
            <v>Venema</v>
          </cell>
          <cell r="C51">
            <v>1.59326681790453</v>
          </cell>
          <cell r="D51">
            <v>0</v>
          </cell>
          <cell r="E51">
            <v>0</v>
          </cell>
          <cell r="F51">
            <v>5.1977973431348801</v>
          </cell>
          <cell r="G51">
            <v>32.978612184524501</v>
          </cell>
          <cell r="H51">
            <v>52.213913202285802</v>
          </cell>
          <cell r="I51">
            <v>3.51741202175617</v>
          </cell>
          <cell r="J51">
            <v>0</v>
          </cell>
          <cell r="K51">
            <v>0</v>
          </cell>
          <cell r="L51">
            <v>0.33398494124412498</v>
          </cell>
          <cell r="M51">
            <v>0.56552868336439099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5.19275330007076</v>
          </cell>
          <cell r="S51">
            <v>0</v>
          </cell>
          <cell r="T51">
            <v>47.5797309875488</v>
          </cell>
        </row>
        <row r="52">
          <cell r="A52" t="str">
            <v>ISP_ZACKUSE</v>
          </cell>
          <cell r="B52" t="str">
            <v>Zackuse</v>
          </cell>
          <cell r="C52">
            <v>0.81405381620832695</v>
          </cell>
          <cell r="D52">
            <v>0</v>
          </cell>
          <cell r="E52">
            <v>0</v>
          </cell>
          <cell r="F52">
            <v>36.693078279495197</v>
          </cell>
          <cell r="G52">
            <v>34.100234508514397</v>
          </cell>
          <cell r="H52">
            <v>12.084352225065199</v>
          </cell>
          <cell r="I52">
            <v>0</v>
          </cell>
          <cell r="J52">
            <v>0</v>
          </cell>
          <cell r="K52">
            <v>0.55278902873396896</v>
          </cell>
          <cell r="L52">
            <v>6.7300975322723398</v>
          </cell>
          <cell r="M52">
            <v>8.1810832023620605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1.6583669930696501</v>
          </cell>
          <cell r="S52">
            <v>0</v>
          </cell>
          <cell r="T52">
            <v>22.382097244262699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1588-75EE-494F-B006-2BB7CDF856AB}">
  <dimension ref="A1:T408"/>
  <sheetViews>
    <sheetView tabSelected="1" workbookViewId="0">
      <selection activeCell="S211" sqref="S211:S221"/>
    </sheetView>
  </sheetViews>
  <sheetFormatPr defaultRowHeight="15" x14ac:dyDescent="0.25"/>
  <cols>
    <col min="1" max="1" width="17.140625" customWidth="1"/>
    <col min="2" max="6" width="22.85546875" customWidth="1"/>
    <col min="7" max="7" width="30.85546875" customWidth="1"/>
    <col min="8" max="8" width="11" customWidth="1"/>
    <col min="19" max="20" width="16.42578125" customWidth="1"/>
  </cols>
  <sheetData>
    <row r="1" spans="1:20" ht="30" x14ac:dyDescent="0.25">
      <c r="A1" s="66" t="s">
        <v>439</v>
      </c>
      <c r="B1" s="66" t="s">
        <v>48</v>
      </c>
      <c r="C1" s="6" t="s">
        <v>433</v>
      </c>
      <c r="D1" s="4" t="s">
        <v>440</v>
      </c>
      <c r="E1" s="4" t="s">
        <v>435</v>
      </c>
      <c r="F1" s="4" t="s">
        <v>441</v>
      </c>
      <c r="G1" s="4" t="s">
        <v>445</v>
      </c>
      <c r="H1" s="66" t="s">
        <v>442</v>
      </c>
      <c r="I1" s="66" t="s">
        <v>443</v>
      </c>
      <c r="J1" s="66" t="s">
        <v>444</v>
      </c>
      <c r="K1" s="66" t="s">
        <v>438</v>
      </c>
      <c r="L1" s="66" t="s">
        <v>446</v>
      </c>
      <c r="M1" s="66" t="s">
        <v>447</v>
      </c>
      <c r="N1" s="66" t="s">
        <v>448</v>
      </c>
      <c r="O1" s="66" t="s">
        <v>449</v>
      </c>
      <c r="P1" s="66" t="s">
        <v>450</v>
      </c>
      <c r="Q1" s="66" t="s">
        <v>451</v>
      </c>
      <c r="R1" s="66" t="s">
        <v>452</v>
      </c>
      <c r="S1" s="67" t="s">
        <v>453</v>
      </c>
      <c r="T1" s="67" t="s">
        <v>454</v>
      </c>
    </row>
    <row r="2" spans="1:20" x14ac:dyDescent="0.25">
      <c r="A2" t="s">
        <v>2</v>
      </c>
      <c r="B2" t="s">
        <v>174</v>
      </c>
      <c r="C2">
        <v>5.5757419563841104</v>
      </c>
      <c r="D2">
        <v>45.040374755859403</v>
      </c>
      <c r="E2">
        <v>85.790888220071849</v>
      </c>
      <c r="F2">
        <v>8.3469836681615596E-3</v>
      </c>
      <c r="H2" s="1">
        <v>45908</v>
      </c>
      <c r="I2" t="s">
        <v>0</v>
      </c>
      <c r="J2">
        <v>0</v>
      </c>
      <c r="K2" s="2">
        <v>2.2999999999999998</v>
      </c>
      <c r="L2">
        <v>1.4</v>
      </c>
      <c r="M2">
        <v>17</v>
      </c>
      <c r="N2">
        <v>15</v>
      </c>
      <c r="O2">
        <v>17</v>
      </c>
      <c r="P2">
        <v>17</v>
      </c>
      <c r="Q2">
        <v>17</v>
      </c>
      <c r="R2">
        <v>17</v>
      </c>
      <c r="S2">
        <v>12.7</v>
      </c>
      <c r="T2">
        <v>2025</v>
      </c>
    </row>
    <row r="3" spans="1:20" x14ac:dyDescent="0.25">
      <c r="A3" t="s">
        <v>2</v>
      </c>
      <c r="B3" t="s">
        <v>174</v>
      </c>
      <c r="C3">
        <v>5.5757419563841104</v>
      </c>
      <c r="D3">
        <v>45.040374755859403</v>
      </c>
      <c r="E3">
        <v>85.790888220071849</v>
      </c>
      <c r="F3">
        <v>8.3469836681615596E-3</v>
      </c>
      <c r="H3" s="1">
        <v>45908</v>
      </c>
      <c r="I3" t="s">
        <v>1</v>
      </c>
      <c r="J3">
        <v>15</v>
      </c>
      <c r="K3" s="2">
        <v>3.3</v>
      </c>
      <c r="L3">
        <v>2.6</v>
      </c>
      <c r="M3">
        <v>17</v>
      </c>
      <c r="N3">
        <v>14</v>
      </c>
      <c r="O3">
        <v>15</v>
      </c>
      <c r="P3">
        <v>17</v>
      </c>
      <c r="Q3">
        <v>17</v>
      </c>
      <c r="R3">
        <v>17</v>
      </c>
      <c r="S3">
        <v>12.7</v>
      </c>
      <c r="T3">
        <v>2025</v>
      </c>
    </row>
    <row r="4" spans="1:20" x14ac:dyDescent="0.25">
      <c r="A4" t="s">
        <v>2</v>
      </c>
      <c r="B4" t="s">
        <v>174</v>
      </c>
      <c r="C4">
        <v>5.5757419563841104</v>
      </c>
      <c r="D4">
        <v>45.040374755859403</v>
      </c>
      <c r="E4">
        <v>85.790888220071849</v>
      </c>
      <c r="F4">
        <v>8.3469836681615596E-3</v>
      </c>
      <c r="H4" s="1">
        <v>45908</v>
      </c>
      <c r="I4" t="s">
        <v>3</v>
      </c>
      <c r="J4">
        <v>30</v>
      </c>
      <c r="K4" s="2">
        <v>2.7</v>
      </c>
      <c r="L4">
        <v>1.7</v>
      </c>
      <c r="M4">
        <v>13</v>
      </c>
      <c r="N4">
        <v>16</v>
      </c>
      <c r="O4">
        <v>17</v>
      </c>
      <c r="P4">
        <v>17</v>
      </c>
      <c r="Q4">
        <v>17</v>
      </c>
      <c r="R4">
        <v>17</v>
      </c>
      <c r="S4">
        <v>12.7</v>
      </c>
      <c r="T4">
        <v>2025</v>
      </c>
    </row>
    <row r="5" spans="1:20" x14ac:dyDescent="0.25">
      <c r="A5" t="s">
        <v>2</v>
      </c>
      <c r="B5" t="s">
        <v>174</v>
      </c>
      <c r="C5">
        <v>5.5757419563841104</v>
      </c>
      <c r="D5">
        <v>45.040374755859403</v>
      </c>
      <c r="E5">
        <v>85.790888220071849</v>
      </c>
      <c r="F5">
        <v>8.3469836681615596E-3</v>
      </c>
      <c r="H5" s="1">
        <v>45908</v>
      </c>
      <c r="I5" t="s">
        <v>4</v>
      </c>
      <c r="J5">
        <v>45</v>
      </c>
      <c r="K5" s="2">
        <v>3.6</v>
      </c>
      <c r="L5">
        <v>2.1</v>
      </c>
      <c r="M5">
        <v>17</v>
      </c>
      <c r="N5">
        <v>14</v>
      </c>
      <c r="O5">
        <v>13</v>
      </c>
      <c r="P5">
        <v>17</v>
      </c>
      <c r="Q5">
        <v>13</v>
      </c>
      <c r="R5">
        <v>17</v>
      </c>
      <c r="S5">
        <v>12.7</v>
      </c>
      <c r="T5">
        <v>2025</v>
      </c>
    </row>
    <row r="6" spans="1:20" x14ac:dyDescent="0.25">
      <c r="A6" t="s">
        <v>2</v>
      </c>
      <c r="B6" t="s">
        <v>174</v>
      </c>
      <c r="C6">
        <v>5.5757419563841104</v>
      </c>
      <c r="D6">
        <v>45.040374755859403</v>
      </c>
      <c r="E6">
        <v>85.790888220071849</v>
      </c>
      <c r="F6">
        <v>8.3469836681615596E-3</v>
      </c>
      <c r="H6" s="1">
        <v>45908</v>
      </c>
      <c r="I6" t="s">
        <v>5</v>
      </c>
      <c r="J6">
        <v>60</v>
      </c>
      <c r="K6" s="2">
        <v>3.5</v>
      </c>
      <c r="L6">
        <v>2.1</v>
      </c>
      <c r="M6">
        <v>17</v>
      </c>
      <c r="N6">
        <v>16</v>
      </c>
      <c r="O6">
        <v>15</v>
      </c>
      <c r="P6">
        <v>15</v>
      </c>
      <c r="Q6">
        <v>17</v>
      </c>
      <c r="R6">
        <v>16</v>
      </c>
      <c r="S6">
        <v>12.7</v>
      </c>
      <c r="T6">
        <v>2025</v>
      </c>
    </row>
    <row r="7" spans="1:20" x14ac:dyDescent="0.25">
      <c r="A7" t="s">
        <v>2</v>
      </c>
      <c r="B7" t="s">
        <v>174</v>
      </c>
      <c r="C7">
        <v>5.5757419563841104</v>
      </c>
      <c r="D7">
        <v>45.040374755859403</v>
      </c>
      <c r="E7">
        <v>85.790888220071849</v>
      </c>
      <c r="F7">
        <v>8.3469836681615596E-3</v>
      </c>
      <c r="H7" s="1">
        <v>45908</v>
      </c>
      <c r="I7" t="s">
        <v>6</v>
      </c>
      <c r="J7">
        <v>75</v>
      </c>
      <c r="K7" s="2">
        <v>4.9000000000000004</v>
      </c>
      <c r="L7">
        <v>3.9</v>
      </c>
      <c r="M7">
        <v>17</v>
      </c>
      <c r="N7">
        <v>17</v>
      </c>
      <c r="O7">
        <v>17</v>
      </c>
      <c r="P7">
        <v>16</v>
      </c>
      <c r="Q7">
        <v>17</v>
      </c>
      <c r="R7">
        <v>17</v>
      </c>
      <c r="S7">
        <v>12.7</v>
      </c>
      <c r="T7">
        <v>2025</v>
      </c>
    </row>
    <row r="8" spans="1:20" x14ac:dyDescent="0.25">
      <c r="A8" t="s">
        <v>2</v>
      </c>
      <c r="B8" t="s">
        <v>174</v>
      </c>
      <c r="C8">
        <v>5.5757419563841104</v>
      </c>
      <c r="D8">
        <v>45.040374755859403</v>
      </c>
      <c r="E8">
        <v>85.790888220071849</v>
      </c>
      <c r="F8">
        <v>8.3469836681615596E-3</v>
      </c>
      <c r="H8" s="1">
        <v>45908</v>
      </c>
      <c r="I8" t="s">
        <v>7</v>
      </c>
      <c r="J8">
        <v>90</v>
      </c>
      <c r="K8" s="2">
        <v>3.2</v>
      </c>
      <c r="L8">
        <v>2.1</v>
      </c>
      <c r="M8">
        <v>17</v>
      </c>
      <c r="N8">
        <v>17</v>
      </c>
      <c r="O8">
        <v>17</v>
      </c>
      <c r="P8">
        <v>17</v>
      </c>
      <c r="Q8">
        <v>17</v>
      </c>
      <c r="R8">
        <v>17</v>
      </c>
      <c r="S8">
        <v>12.7</v>
      </c>
      <c r="T8">
        <v>2025</v>
      </c>
    </row>
    <row r="9" spans="1:20" x14ac:dyDescent="0.25">
      <c r="A9" t="s">
        <v>2</v>
      </c>
      <c r="B9" t="s">
        <v>174</v>
      </c>
      <c r="C9">
        <v>5.5757419563841104</v>
      </c>
      <c r="D9">
        <v>45.040374755859403</v>
      </c>
      <c r="E9">
        <v>85.790888220071849</v>
      </c>
      <c r="F9">
        <v>8.3469836681615596E-3</v>
      </c>
      <c r="H9" s="1">
        <v>45908</v>
      </c>
      <c r="I9" t="s">
        <v>8</v>
      </c>
      <c r="J9">
        <v>105</v>
      </c>
      <c r="K9" s="2">
        <v>2.2999999999999998</v>
      </c>
      <c r="L9">
        <v>2</v>
      </c>
      <c r="M9">
        <v>17</v>
      </c>
      <c r="N9">
        <v>17</v>
      </c>
      <c r="O9">
        <v>17</v>
      </c>
      <c r="P9">
        <v>17</v>
      </c>
      <c r="Q9">
        <v>17</v>
      </c>
      <c r="R9">
        <v>17</v>
      </c>
      <c r="S9">
        <v>12.7</v>
      </c>
      <c r="T9">
        <v>2025</v>
      </c>
    </row>
    <row r="10" spans="1:20" x14ac:dyDescent="0.25">
      <c r="A10" t="s">
        <v>2</v>
      </c>
      <c r="B10" t="s">
        <v>174</v>
      </c>
      <c r="C10">
        <v>5.5757419563841104</v>
      </c>
      <c r="D10">
        <v>45.040374755859403</v>
      </c>
      <c r="E10">
        <v>85.790888220071849</v>
      </c>
      <c r="F10">
        <v>8.3469836681615596E-3</v>
      </c>
      <c r="H10" s="1">
        <v>45908</v>
      </c>
      <c r="I10" t="s">
        <v>9</v>
      </c>
      <c r="J10">
        <v>120</v>
      </c>
      <c r="K10" s="2">
        <v>3.3</v>
      </c>
      <c r="L10">
        <v>1.7</v>
      </c>
      <c r="M10">
        <v>17</v>
      </c>
      <c r="N10">
        <v>17</v>
      </c>
      <c r="O10">
        <v>17</v>
      </c>
      <c r="P10">
        <v>17</v>
      </c>
      <c r="Q10">
        <v>17</v>
      </c>
      <c r="R10">
        <v>17</v>
      </c>
      <c r="S10">
        <v>12.7</v>
      </c>
      <c r="T10">
        <v>2025</v>
      </c>
    </row>
    <row r="11" spans="1:20" x14ac:dyDescent="0.25">
      <c r="A11" t="s">
        <v>2</v>
      </c>
      <c r="B11" t="s">
        <v>174</v>
      </c>
      <c r="C11">
        <v>5.5757419563841104</v>
      </c>
      <c r="D11">
        <v>45.040374755859403</v>
      </c>
      <c r="E11">
        <v>85.790888220071849</v>
      </c>
      <c r="F11">
        <v>8.3469836681615596E-3</v>
      </c>
      <c r="H11" s="1">
        <v>45908</v>
      </c>
      <c r="I11" t="s">
        <v>10</v>
      </c>
      <c r="J11">
        <v>135</v>
      </c>
      <c r="K11" s="2">
        <v>4.2</v>
      </c>
      <c r="L11">
        <v>3.7</v>
      </c>
      <c r="M11">
        <v>17</v>
      </c>
      <c r="N11">
        <v>17</v>
      </c>
      <c r="O11">
        <v>17</v>
      </c>
      <c r="P11">
        <v>17</v>
      </c>
      <c r="Q11">
        <v>17</v>
      </c>
      <c r="R11">
        <v>17</v>
      </c>
      <c r="S11">
        <v>12.7</v>
      </c>
      <c r="T11">
        <v>2025</v>
      </c>
    </row>
    <row r="12" spans="1:20" x14ac:dyDescent="0.25">
      <c r="A12" t="s">
        <v>2</v>
      </c>
      <c r="B12" t="s">
        <v>174</v>
      </c>
      <c r="C12">
        <v>5.5757419563841104</v>
      </c>
      <c r="D12">
        <v>45.040374755859403</v>
      </c>
      <c r="E12">
        <v>85.790888220071849</v>
      </c>
      <c r="F12">
        <v>8.3469836681615596E-3</v>
      </c>
      <c r="H12" s="1">
        <v>45908</v>
      </c>
      <c r="I12" t="s">
        <v>11</v>
      </c>
      <c r="J12">
        <v>150</v>
      </c>
      <c r="K12" s="2">
        <v>5.8</v>
      </c>
      <c r="L12">
        <v>4.0999999999999996</v>
      </c>
      <c r="M12">
        <v>17</v>
      </c>
      <c r="N12">
        <v>17</v>
      </c>
      <c r="O12">
        <v>17</v>
      </c>
      <c r="P12">
        <v>17</v>
      </c>
      <c r="Q12">
        <v>17</v>
      </c>
      <c r="R12">
        <v>17</v>
      </c>
      <c r="S12">
        <v>12.7</v>
      </c>
      <c r="T12">
        <v>2025</v>
      </c>
    </row>
    <row r="13" spans="1:20" x14ac:dyDescent="0.25">
      <c r="A13" t="s">
        <v>12</v>
      </c>
      <c r="B13" t="s">
        <v>328</v>
      </c>
      <c r="C13">
        <v>0.58498809636842097</v>
      </c>
      <c r="D13">
        <v>32.838733673095703</v>
      </c>
      <c r="E13">
        <v>59.064580500125885</v>
      </c>
      <c r="F13">
        <v>21.610554493963669</v>
      </c>
      <c r="H13" s="1">
        <v>45868</v>
      </c>
      <c r="I13" t="s">
        <v>0</v>
      </c>
      <c r="J13">
        <v>0</v>
      </c>
      <c r="K13" s="2">
        <v>1.6</v>
      </c>
      <c r="L13">
        <v>1.4</v>
      </c>
      <c r="M13">
        <v>17</v>
      </c>
      <c r="N13">
        <v>16</v>
      </c>
      <c r="O13">
        <v>17</v>
      </c>
      <c r="P13">
        <v>17</v>
      </c>
      <c r="Q13">
        <v>17</v>
      </c>
      <c r="R13">
        <v>17</v>
      </c>
      <c r="S13">
        <v>23.1</v>
      </c>
      <c r="T13">
        <v>2025</v>
      </c>
    </row>
    <row r="14" spans="1:20" x14ac:dyDescent="0.25">
      <c r="A14" t="s">
        <v>12</v>
      </c>
      <c r="B14" t="s">
        <v>328</v>
      </c>
      <c r="C14">
        <v>0.58498809636842097</v>
      </c>
      <c r="D14">
        <v>32.838733673095703</v>
      </c>
      <c r="E14">
        <v>59.064580500125885</v>
      </c>
      <c r="F14">
        <v>21.610554493963669</v>
      </c>
      <c r="H14" s="1">
        <v>45868</v>
      </c>
      <c r="I14" t="s">
        <v>1</v>
      </c>
      <c r="J14">
        <v>5</v>
      </c>
      <c r="K14" s="2">
        <v>2.1</v>
      </c>
      <c r="L14">
        <v>1.4</v>
      </c>
      <c r="M14">
        <v>17</v>
      </c>
      <c r="N14">
        <v>17</v>
      </c>
      <c r="O14">
        <v>17</v>
      </c>
      <c r="P14">
        <v>17</v>
      </c>
      <c r="Q14">
        <v>17</v>
      </c>
      <c r="R14">
        <v>17</v>
      </c>
      <c r="S14">
        <v>23.1</v>
      </c>
      <c r="T14">
        <v>2025</v>
      </c>
    </row>
    <row r="15" spans="1:20" x14ac:dyDescent="0.25">
      <c r="A15" t="s">
        <v>12</v>
      </c>
      <c r="B15" t="s">
        <v>328</v>
      </c>
      <c r="C15">
        <v>0.58498809636842097</v>
      </c>
      <c r="D15">
        <v>32.838733673095703</v>
      </c>
      <c r="E15">
        <v>59.064580500125885</v>
      </c>
      <c r="F15">
        <v>21.610554493963669</v>
      </c>
      <c r="H15" s="1">
        <v>45868</v>
      </c>
      <c r="I15" t="s">
        <v>3</v>
      </c>
      <c r="J15">
        <v>10</v>
      </c>
      <c r="K15" s="2">
        <v>2.7</v>
      </c>
      <c r="L15">
        <v>2.9</v>
      </c>
      <c r="M15">
        <v>17</v>
      </c>
      <c r="N15">
        <v>17</v>
      </c>
      <c r="O15">
        <v>17</v>
      </c>
      <c r="P15">
        <v>17</v>
      </c>
      <c r="Q15">
        <v>17</v>
      </c>
      <c r="R15">
        <v>16</v>
      </c>
      <c r="S15">
        <v>23.1</v>
      </c>
      <c r="T15">
        <v>2025</v>
      </c>
    </row>
    <row r="16" spans="1:20" x14ac:dyDescent="0.25">
      <c r="A16" t="s">
        <v>12</v>
      </c>
      <c r="B16" t="s">
        <v>328</v>
      </c>
      <c r="C16">
        <v>0.58498809636842097</v>
      </c>
      <c r="D16">
        <v>32.838733673095703</v>
      </c>
      <c r="E16">
        <v>59.064580500125885</v>
      </c>
      <c r="F16">
        <v>21.610554493963669</v>
      </c>
      <c r="H16" s="1">
        <v>45868</v>
      </c>
      <c r="I16" t="s">
        <v>4</v>
      </c>
      <c r="J16">
        <v>15</v>
      </c>
      <c r="K16" s="2">
        <v>2.5</v>
      </c>
      <c r="L16">
        <v>2</v>
      </c>
      <c r="M16">
        <v>17</v>
      </c>
      <c r="N16">
        <v>17</v>
      </c>
      <c r="O16">
        <v>17</v>
      </c>
      <c r="P16">
        <v>17</v>
      </c>
      <c r="Q16">
        <v>17</v>
      </c>
      <c r="R16">
        <v>17</v>
      </c>
      <c r="S16">
        <v>23.1</v>
      </c>
      <c r="T16">
        <v>2025</v>
      </c>
    </row>
    <row r="17" spans="1:20" x14ac:dyDescent="0.25">
      <c r="A17" t="s">
        <v>12</v>
      </c>
      <c r="B17" t="s">
        <v>328</v>
      </c>
      <c r="C17">
        <v>0.58498809636842097</v>
      </c>
      <c r="D17">
        <v>32.838733673095703</v>
      </c>
      <c r="E17">
        <v>59.064580500125885</v>
      </c>
      <c r="F17">
        <v>21.610554493963669</v>
      </c>
      <c r="H17" s="1">
        <v>45868</v>
      </c>
      <c r="I17" t="s">
        <v>5</v>
      </c>
      <c r="J17">
        <v>20</v>
      </c>
      <c r="K17" s="2">
        <v>1.7</v>
      </c>
      <c r="L17">
        <v>1.4</v>
      </c>
      <c r="M17">
        <v>17</v>
      </c>
      <c r="N17">
        <v>17</v>
      </c>
      <c r="O17">
        <v>17</v>
      </c>
      <c r="P17">
        <v>17</v>
      </c>
      <c r="Q17">
        <v>17</v>
      </c>
      <c r="R17">
        <v>17</v>
      </c>
      <c r="S17">
        <v>23.1</v>
      </c>
      <c r="T17">
        <v>2025</v>
      </c>
    </row>
    <row r="18" spans="1:20" x14ac:dyDescent="0.25">
      <c r="A18" t="s">
        <v>12</v>
      </c>
      <c r="B18" t="s">
        <v>328</v>
      </c>
      <c r="C18">
        <v>0.58498809636842097</v>
      </c>
      <c r="D18">
        <v>32.838733673095703</v>
      </c>
      <c r="E18">
        <v>59.064580500125885</v>
      </c>
      <c r="F18">
        <v>21.610554493963669</v>
      </c>
      <c r="H18" s="1">
        <v>45868</v>
      </c>
      <c r="I18" t="s">
        <v>6</v>
      </c>
      <c r="J18">
        <v>25</v>
      </c>
      <c r="K18" s="2">
        <v>2.4</v>
      </c>
      <c r="L18">
        <v>1.8</v>
      </c>
      <c r="M18">
        <v>17</v>
      </c>
      <c r="N18">
        <v>16</v>
      </c>
      <c r="O18">
        <v>16</v>
      </c>
      <c r="P18">
        <v>15</v>
      </c>
      <c r="Q18">
        <v>17</v>
      </c>
      <c r="R18">
        <v>17</v>
      </c>
      <c r="S18">
        <v>23.1</v>
      </c>
      <c r="T18">
        <v>2025</v>
      </c>
    </row>
    <row r="19" spans="1:20" x14ac:dyDescent="0.25">
      <c r="A19" t="s">
        <v>12</v>
      </c>
      <c r="B19" t="s">
        <v>328</v>
      </c>
      <c r="C19">
        <v>0.58498809636842097</v>
      </c>
      <c r="D19">
        <v>32.838733673095703</v>
      </c>
      <c r="E19">
        <v>59.064580500125885</v>
      </c>
      <c r="F19">
        <v>21.610554493963669</v>
      </c>
      <c r="H19" s="1">
        <v>45868</v>
      </c>
      <c r="I19" t="s">
        <v>7</v>
      </c>
      <c r="J19">
        <v>30</v>
      </c>
      <c r="K19" s="2">
        <v>2.1</v>
      </c>
      <c r="L19">
        <v>1.5</v>
      </c>
      <c r="M19">
        <v>17</v>
      </c>
      <c r="N19">
        <v>8</v>
      </c>
      <c r="O19">
        <v>17</v>
      </c>
      <c r="P19">
        <v>17</v>
      </c>
      <c r="Q19">
        <v>17</v>
      </c>
      <c r="R19">
        <v>17</v>
      </c>
      <c r="S19">
        <v>23.1</v>
      </c>
      <c r="T19">
        <v>2025</v>
      </c>
    </row>
    <row r="20" spans="1:20" x14ac:dyDescent="0.25">
      <c r="A20" t="s">
        <v>12</v>
      </c>
      <c r="B20" t="s">
        <v>328</v>
      </c>
      <c r="C20">
        <v>0.58498809636842097</v>
      </c>
      <c r="D20">
        <v>32.838733673095703</v>
      </c>
      <c r="E20">
        <v>59.064580500125885</v>
      </c>
      <c r="F20">
        <v>21.610554493963669</v>
      </c>
      <c r="H20" s="1">
        <v>45868</v>
      </c>
      <c r="I20" t="s">
        <v>8</v>
      </c>
      <c r="J20">
        <v>35</v>
      </c>
      <c r="K20" s="2">
        <v>1.8</v>
      </c>
      <c r="L20">
        <v>1.5</v>
      </c>
      <c r="M20">
        <v>17</v>
      </c>
      <c r="N20">
        <v>12</v>
      </c>
      <c r="O20">
        <v>15</v>
      </c>
      <c r="P20">
        <v>16</v>
      </c>
      <c r="Q20">
        <v>12</v>
      </c>
      <c r="R20">
        <v>17</v>
      </c>
      <c r="S20">
        <v>23.1</v>
      </c>
      <c r="T20">
        <v>2025</v>
      </c>
    </row>
    <row r="21" spans="1:20" x14ac:dyDescent="0.25">
      <c r="A21" t="s">
        <v>12</v>
      </c>
      <c r="B21" t="s">
        <v>328</v>
      </c>
      <c r="C21">
        <v>0.58498809636842097</v>
      </c>
      <c r="D21">
        <v>32.838733673095703</v>
      </c>
      <c r="E21">
        <v>59.064580500125885</v>
      </c>
      <c r="F21">
        <v>21.610554493963669</v>
      </c>
      <c r="H21" s="1">
        <v>45868</v>
      </c>
      <c r="I21" t="s">
        <v>9</v>
      </c>
      <c r="J21">
        <v>40</v>
      </c>
      <c r="K21" s="2">
        <v>1.9</v>
      </c>
      <c r="L21">
        <v>1.4</v>
      </c>
      <c r="M21">
        <v>17</v>
      </c>
      <c r="N21">
        <v>11</v>
      </c>
      <c r="O21">
        <v>16</v>
      </c>
      <c r="P21">
        <v>14</v>
      </c>
      <c r="Q21">
        <v>15</v>
      </c>
      <c r="R21">
        <v>17</v>
      </c>
      <c r="S21">
        <v>23.1</v>
      </c>
      <c r="T21">
        <v>2025</v>
      </c>
    </row>
    <row r="22" spans="1:20" x14ac:dyDescent="0.25">
      <c r="A22" t="s">
        <v>12</v>
      </c>
      <c r="B22" t="s">
        <v>328</v>
      </c>
      <c r="C22">
        <v>0.58498809636842097</v>
      </c>
      <c r="D22">
        <v>32.838733673095703</v>
      </c>
      <c r="E22">
        <v>59.064580500125885</v>
      </c>
      <c r="F22">
        <v>21.610554493963669</v>
      </c>
      <c r="H22" s="1">
        <v>45868</v>
      </c>
      <c r="I22" t="s">
        <v>10</v>
      </c>
      <c r="J22">
        <v>45</v>
      </c>
      <c r="K22" s="2">
        <v>3.4</v>
      </c>
      <c r="L22">
        <v>1.5</v>
      </c>
      <c r="M22">
        <v>17</v>
      </c>
      <c r="N22">
        <v>17</v>
      </c>
      <c r="O22">
        <v>17</v>
      </c>
      <c r="P22">
        <v>17</v>
      </c>
      <c r="Q22">
        <v>16</v>
      </c>
      <c r="R22">
        <v>17</v>
      </c>
      <c r="S22">
        <v>23.1</v>
      </c>
      <c r="T22">
        <v>2025</v>
      </c>
    </row>
    <row r="23" spans="1:20" x14ac:dyDescent="0.25">
      <c r="A23" t="s">
        <v>12</v>
      </c>
      <c r="B23" t="s">
        <v>328</v>
      </c>
      <c r="C23">
        <v>0.58498809636842097</v>
      </c>
      <c r="D23">
        <v>32.838733673095703</v>
      </c>
      <c r="E23">
        <v>59.064580500125885</v>
      </c>
      <c r="F23">
        <v>21.610554493963669</v>
      </c>
      <c r="H23" s="1">
        <v>45868</v>
      </c>
      <c r="I23" t="s">
        <v>11</v>
      </c>
      <c r="J23">
        <v>50</v>
      </c>
      <c r="K23" s="2">
        <v>5</v>
      </c>
      <c r="L23">
        <v>4.5999999999999996</v>
      </c>
      <c r="M23">
        <v>15</v>
      </c>
      <c r="N23">
        <v>0</v>
      </c>
      <c r="O23">
        <v>17</v>
      </c>
      <c r="P23">
        <v>10</v>
      </c>
      <c r="Q23">
        <v>14</v>
      </c>
      <c r="R23">
        <v>14</v>
      </c>
      <c r="S23">
        <v>23.1</v>
      </c>
      <c r="T23">
        <v>2025</v>
      </c>
    </row>
    <row r="24" spans="1:20" x14ac:dyDescent="0.25">
      <c r="A24" t="s">
        <v>13</v>
      </c>
      <c r="B24" t="s">
        <v>398</v>
      </c>
      <c r="C24">
        <v>2.6675475515852001</v>
      </c>
      <c r="D24">
        <v>43.120925903320298</v>
      </c>
      <c r="E24">
        <v>78.318314626813006</v>
      </c>
      <c r="F24">
        <v>2.3521905764937401</v>
      </c>
      <c r="H24" s="1">
        <v>45866</v>
      </c>
      <c r="I24" t="s">
        <v>0</v>
      </c>
      <c r="J24">
        <v>0</v>
      </c>
      <c r="K24" s="2">
        <v>4.8</v>
      </c>
      <c r="L24">
        <v>4.2</v>
      </c>
      <c r="M24">
        <v>16</v>
      </c>
      <c r="N24">
        <v>16</v>
      </c>
      <c r="O24">
        <v>15</v>
      </c>
      <c r="P24">
        <v>16</v>
      </c>
      <c r="Q24">
        <v>15</v>
      </c>
      <c r="R24">
        <v>17</v>
      </c>
      <c r="S24">
        <v>24</v>
      </c>
      <c r="T24">
        <v>2025</v>
      </c>
    </row>
    <row r="25" spans="1:20" x14ac:dyDescent="0.25">
      <c r="A25" t="s">
        <v>13</v>
      </c>
      <c r="B25" t="s">
        <v>398</v>
      </c>
      <c r="C25">
        <v>2.6675475515852001</v>
      </c>
      <c r="D25">
        <v>43.120925903320298</v>
      </c>
      <c r="E25">
        <v>78.318314626813006</v>
      </c>
      <c r="F25">
        <v>2.3521905764937401</v>
      </c>
      <c r="H25" s="1">
        <v>45866</v>
      </c>
      <c r="I25" t="s">
        <v>1</v>
      </c>
      <c r="J25">
        <v>15</v>
      </c>
      <c r="K25" s="2">
        <v>6.4</v>
      </c>
      <c r="L25">
        <v>2.5</v>
      </c>
      <c r="M25">
        <v>17</v>
      </c>
      <c r="N25">
        <v>16</v>
      </c>
      <c r="O25">
        <v>16</v>
      </c>
      <c r="P25">
        <v>16</v>
      </c>
      <c r="Q25">
        <v>17</v>
      </c>
      <c r="R25">
        <v>17</v>
      </c>
      <c r="S25">
        <v>24</v>
      </c>
      <c r="T25">
        <v>2025</v>
      </c>
    </row>
    <row r="26" spans="1:20" x14ac:dyDescent="0.25">
      <c r="A26" t="s">
        <v>13</v>
      </c>
      <c r="B26" t="s">
        <v>398</v>
      </c>
      <c r="C26">
        <v>2.6675475515852001</v>
      </c>
      <c r="D26">
        <v>43.120925903320298</v>
      </c>
      <c r="E26">
        <v>78.318314626813006</v>
      </c>
      <c r="F26">
        <v>2.3521905764937401</v>
      </c>
      <c r="H26" s="1">
        <v>45866</v>
      </c>
      <c r="I26" t="s">
        <v>3</v>
      </c>
      <c r="J26">
        <v>30</v>
      </c>
      <c r="K26" s="2">
        <v>5.0999999999999996</v>
      </c>
      <c r="L26">
        <v>4.5999999999999996</v>
      </c>
      <c r="M26">
        <v>16</v>
      </c>
      <c r="N26">
        <v>10</v>
      </c>
      <c r="O26">
        <v>17</v>
      </c>
      <c r="P26">
        <v>17</v>
      </c>
      <c r="Q26">
        <v>16</v>
      </c>
      <c r="R26">
        <v>17</v>
      </c>
      <c r="S26">
        <v>24</v>
      </c>
      <c r="T26">
        <v>2025</v>
      </c>
    </row>
    <row r="27" spans="1:20" x14ac:dyDescent="0.25">
      <c r="A27" t="s">
        <v>13</v>
      </c>
      <c r="B27" t="s">
        <v>398</v>
      </c>
      <c r="C27">
        <v>2.6675475515852001</v>
      </c>
      <c r="D27">
        <v>43.120925903320298</v>
      </c>
      <c r="E27">
        <v>78.318314626813006</v>
      </c>
      <c r="F27">
        <v>2.3521905764937401</v>
      </c>
      <c r="H27" s="1">
        <v>45866</v>
      </c>
      <c r="I27" t="s">
        <v>4</v>
      </c>
      <c r="J27">
        <v>45</v>
      </c>
      <c r="K27" s="2">
        <v>5.5</v>
      </c>
      <c r="L27">
        <v>2.8</v>
      </c>
      <c r="M27">
        <v>17</v>
      </c>
      <c r="N27">
        <v>15</v>
      </c>
      <c r="O27">
        <v>16</v>
      </c>
      <c r="P27">
        <v>15</v>
      </c>
      <c r="Q27">
        <v>17</v>
      </c>
      <c r="R27">
        <v>17</v>
      </c>
      <c r="S27">
        <v>24</v>
      </c>
      <c r="T27">
        <v>2025</v>
      </c>
    </row>
    <row r="28" spans="1:20" x14ac:dyDescent="0.25">
      <c r="A28" t="s">
        <v>13</v>
      </c>
      <c r="B28" t="s">
        <v>398</v>
      </c>
      <c r="C28">
        <v>2.6675475515852001</v>
      </c>
      <c r="D28">
        <v>43.120925903320298</v>
      </c>
      <c r="E28">
        <v>78.318314626813006</v>
      </c>
      <c r="F28">
        <v>2.3521905764937401</v>
      </c>
      <c r="H28" s="1">
        <v>45866</v>
      </c>
      <c r="I28" t="s">
        <v>5</v>
      </c>
      <c r="J28">
        <v>60</v>
      </c>
      <c r="K28" s="2">
        <v>4.9000000000000004</v>
      </c>
      <c r="L28">
        <v>1.5</v>
      </c>
      <c r="M28">
        <v>17</v>
      </c>
      <c r="N28">
        <v>16</v>
      </c>
      <c r="O28">
        <v>11</v>
      </c>
      <c r="P28">
        <v>17</v>
      </c>
      <c r="Q28">
        <v>17</v>
      </c>
      <c r="R28">
        <v>17</v>
      </c>
      <c r="S28">
        <v>24</v>
      </c>
      <c r="T28">
        <v>2025</v>
      </c>
    </row>
    <row r="29" spans="1:20" x14ac:dyDescent="0.25">
      <c r="A29" t="s">
        <v>13</v>
      </c>
      <c r="B29" t="s">
        <v>398</v>
      </c>
      <c r="C29">
        <v>2.6675475515852001</v>
      </c>
      <c r="D29">
        <v>43.120925903320298</v>
      </c>
      <c r="E29">
        <v>78.318314626813006</v>
      </c>
      <c r="F29">
        <v>2.3521905764937401</v>
      </c>
      <c r="H29" s="1">
        <v>45866</v>
      </c>
      <c r="I29" t="s">
        <v>6</v>
      </c>
      <c r="J29">
        <v>75</v>
      </c>
      <c r="K29" s="2">
        <v>3.7</v>
      </c>
      <c r="L29">
        <v>2.1</v>
      </c>
      <c r="M29">
        <v>17</v>
      </c>
      <c r="N29">
        <v>16</v>
      </c>
      <c r="O29">
        <v>12</v>
      </c>
      <c r="P29">
        <v>15</v>
      </c>
      <c r="Q29">
        <v>15</v>
      </c>
      <c r="R29">
        <v>17</v>
      </c>
      <c r="S29">
        <v>24</v>
      </c>
      <c r="T29">
        <v>2025</v>
      </c>
    </row>
    <row r="30" spans="1:20" x14ac:dyDescent="0.25">
      <c r="A30" t="s">
        <v>13</v>
      </c>
      <c r="B30" t="s">
        <v>398</v>
      </c>
      <c r="C30">
        <v>2.6675475515852001</v>
      </c>
      <c r="D30">
        <v>43.120925903320298</v>
      </c>
      <c r="E30">
        <v>78.318314626813006</v>
      </c>
      <c r="F30">
        <v>2.3521905764937401</v>
      </c>
      <c r="H30" s="1">
        <v>45866</v>
      </c>
      <c r="I30" t="s">
        <v>7</v>
      </c>
      <c r="J30">
        <v>90</v>
      </c>
      <c r="K30" s="2">
        <v>6</v>
      </c>
      <c r="L30">
        <v>2</v>
      </c>
      <c r="M30">
        <v>17</v>
      </c>
      <c r="N30">
        <v>17</v>
      </c>
      <c r="O30">
        <v>17</v>
      </c>
      <c r="P30">
        <v>17</v>
      </c>
      <c r="Q30">
        <v>17</v>
      </c>
      <c r="R30">
        <v>17</v>
      </c>
      <c r="S30">
        <v>24</v>
      </c>
      <c r="T30">
        <v>2025</v>
      </c>
    </row>
    <row r="31" spans="1:20" x14ac:dyDescent="0.25">
      <c r="A31" t="s">
        <v>13</v>
      </c>
      <c r="B31" t="s">
        <v>398</v>
      </c>
      <c r="C31">
        <v>2.6675475515852001</v>
      </c>
      <c r="D31">
        <v>43.120925903320298</v>
      </c>
      <c r="E31">
        <v>78.318314626813006</v>
      </c>
      <c r="F31">
        <v>2.3521905764937401</v>
      </c>
      <c r="H31" s="1">
        <v>45866</v>
      </c>
      <c r="I31" t="s">
        <v>8</v>
      </c>
      <c r="J31">
        <v>105</v>
      </c>
      <c r="K31" s="2">
        <v>6</v>
      </c>
      <c r="L31">
        <v>1.7</v>
      </c>
      <c r="M31">
        <v>17</v>
      </c>
      <c r="N31">
        <v>14</v>
      </c>
      <c r="O31">
        <v>16</v>
      </c>
      <c r="P31">
        <v>15</v>
      </c>
      <c r="Q31">
        <v>16</v>
      </c>
      <c r="R31">
        <v>17</v>
      </c>
      <c r="S31">
        <v>24</v>
      </c>
      <c r="T31">
        <v>2025</v>
      </c>
    </row>
    <row r="32" spans="1:20" x14ac:dyDescent="0.25">
      <c r="A32" t="s">
        <v>13</v>
      </c>
      <c r="B32" t="s">
        <v>398</v>
      </c>
      <c r="C32">
        <v>2.6675475515852001</v>
      </c>
      <c r="D32">
        <v>43.120925903320298</v>
      </c>
      <c r="E32">
        <v>78.318314626813006</v>
      </c>
      <c r="F32">
        <v>2.3521905764937401</v>
      </c>
      <c r="H32" s="1">
        <v>45866</v>
      </c>
      <c r="I32" t="s">
        <v>9</v>
      </c>
      <c r="J32">
        <v>120</v>
      </c>
      <c r="K32" s="2">
        <v>3.3</v>
      </c>
      <c r="L32">
        <v>2.6</v>
      </c>
      <c r="M32">
        <v>17</v>
      </c>
      <c r="N32">
        <v>17</v>
      </c>
      <c r="O32">
        <v>17</v>
      </c>
      <c r="P32">
        <v>17</v>
      </c>
      <c r="Q32">
        <v>17</v>
      </c>
      <c r="R32">
        <v>17</v>
      </c>
      <c r="S32">
        <v>24</v>
      </c>
      <c r="T32">
        <v>2025</v>
      </c>
    </row>
    <row r="33" spans="1:20" x14ac:dyDescent="0.25">
      <c r="A33" t="s">
        <v>13</v>
      </c>
      <c r="B33" t="s">
        <v>398</v>
      </c>
      <c r="C33">
        <v>2.6675475515852001</v>
      </c>
      <c r="D33">
        <v>43.120925903320298</v>
      </c>
      <c r="E33">
        <v>78.318314626813006</v>
      </c>
      <c r="F33">
        <v>2.3521905764937401</v>
      </c>
      <c r="H33" s="1">
        <v>45866</v>
      </c>
      <c r="I33" t="s">
        <v>10</v>
      </c>
      <c r="J33">
        <v>135</v>
      </c>
      <c r="K33" s="2">
        <v>7.2</v>
      </c>
      <c r="L33">
        <v>2.7</v>
      </c>
      <c r="M33">
        <v>16</v>
      </c>
      <c r="N33">
        <v>17</v>
      </c>
      <c r="O33">
        <v>17</v>
      </c>
      <c r="P33">
        <v>16</v>
      </c>
      <c r="Q33">
        <v>17</v>
      </c>
      <c r="R33">
        <v>17</v>
      </c>
      <c r="S33">
        <v>24</v>
      </c>
      <c r="T33">
        <v>2025</v>
      </c>
    </row>
    <row r="34" spans="1:20" x14ac:dyDescent="0.25">
      <c r="A34" t="s">
        <v>13</v>
      </c>
      <c r="B34" t="s">
        <v>398</v>
      </c>
      <c r="C34">
        <v>2.6675475515852001</v>
      </c>
      <c r="D34">
        <v>43.120925903320298</v>
      </c>
      <c r="E34">
        <v>78.318314626813006</v>
      </c>
      <c r="F34">
        <v>2.3521905764937401</v>
      </c>
      <c r="H34" s="1">
        <v>45866</v>
      </c>
      <c r="I34" t="s">
        <v>11</v>
      </c>
      <c r="J34">
        <v>150</v>
      </c>
      <c r="K34" s="2">
        <v>2.2999999999999998</v>
      </c>
      <c r="L34">
        <v>2.1</v>
      </c>
      <c r="M34">
        <v>16</v>
      </c>
      <c r="N34">
        <v>16</v>
      </c>
      <c r="O34">
        <v>17</v>
      </c>
      <c r="P34">
        <v>17</v>
      </c>
      <c r="Q34">
        <v>17</v>
      </c>
      <c r="R34">
        <v>17</v>
      </c>
      <c r="S34">
        <v>24</v>
      </c>
      <c r="T34">
        <v>2025</v>
      </c>
    </row>
    <row r="35" spans="1:20" x14ac:dyDescent="0.25">
      <c r="A35" t="s">
        <v>14</v>
      </c>
      <c r="B35" t="s">
        <v>352</v>
      </c>
      <c r="C35">
        <v>7.1488751209223</v>
      </c>
      <c r="D35">
        <v>14.888334274291999</v>
      </c>
      <c r="E35">
        <v>23.973694257438222</v>
      </c>
      <c r="F35">
        <v>64.025605469942107</v>
      </c>
      <c r="H35" s="1">
        <v>45917</v>
      </c>
      <c r="I35" t="s">
        <v>0</v>
      </c>
      <c r="J35">
        <v>0</v>
      </c>
      <c r="K35" s="2">
        <v>4.2</v>
      </c>
      <c r="L35">
        <v>2.9</v>
      </c>
      <c r="M35">
        <v>17</v>
      </c>
      <c r="N35">
        <v>16</v>
      </c>
      <c r="O35">
        <v>17</v>
      </c>
      <c r="P35">
        <v>15</v>
      </c>
      <c r="Q35">
        <v>17</v>
      </c>
      <c r="R35">
        <v>17</v>
      </c>
      <c r="S35">
        <v>75.7</v>
      </c>
      <c r="T35">
        <v>2025</v>
      </c>
    </row>
    <row r="36" spans="1:20" x14ac:dyDescent="0.25">
      <c r="A36" t="s">
        <v>14</v>
      </c>
      <c r="B36" t="s">
        <v>352</v>
      </c>
      <c r="C36">
        <v>7.1488751209223</v>
      </c>
      <c r="D36">
        <v>14.888334274291999</v>
      </c>
      <c r="E36">
        <v>23.973694257438222</v>
      </c>
      <c r="F36">
        <v>64.025605469942107</v>
      </c>
      <c r="H36" s="1">
        <v>45917</v>
      </c>
      <c r="I36" t="s">
        <v>1</v>
      </c>
      <c r="J36">
        <v>15</v>
      </c>
      <c r="K36" s="2">
        <v>5.9</v>
      </c>
      <c r="L36">
        <v>2.4</v>
      </c>
      <c r="M36">
        <v>17</v>
      </c>
      <c r="N36">
        <v>15</v>
      </c>
      <c r="O36">
        <v>12</v>
      </c>
      <c r="P36">
        <v>16</v>
      </c>
      <c r="Q36">
        <v>13</v>
      </c>
      <c r="R36">
        <v>17</v>
      </c>
      <c r="S36">
        <v>75.7</v>
      </c>
      <c r="T36">
        <v>2025</v>
      </c>
    </row>
    <row r="37" spans="1:20" x14ac:dyDescent="0.25">
      <c r="A37" t="s">
        <v>14</v>
      </c>
      <c r="B37" t="s">
        <v>352</v>
      </c>
      <c r="C37">
        <v>7.1488751209223</v>
      </c>
      <c r="D37">
        <v>14.888334274291999</v>
      </c>
      <c r="E37">
        <v>23.973694257438222</v>
      </c>
      <c r="F37">
        <v>64.025605469942107</v>
      </c>
      <c r="H37" s="1">
        <v>45917</v>
      </c>
      <c r="I37" t="s">
        <v>3</v>
      </c>
      <c r="J37">
        <v>30</v>
      </c>
      <c r="K37" s="2">
        <v>4.2</v>
      </c>
      <c r="L37">
        <v>2.6</v>
      </c>
      <c r="M37">
        <v>17</v>
      </c>
      <c r="N37">
        <v>16</v>
      </c>
      <c r="O37">
        <v>16</v>
      </c>
      <c r="P37">
        <v>17</v>
      </c>
      <c r="Q37">
        <v>15</v>
      </c>
      <c r="R37">
        <v>17</v>
      </c>
      <c r="S37">
        <v>75.7</v>
      </c>
      <c r="T37">
        <v>2025</v>
      </c>
    </row>
    <row r="38" spans="1:20" x14ac:dyDescent="0.25">
      <c r="A38" t="s">
        <v>14</v>
      </c>
      <c r="B38" t="s">
        <v>352</v>
      </c>
      <c r="C38">
        <v>7.1488751209223</v>
      </c>
      <c r="D38">
        <v>14.888334274291999</v>
      </c>
      <c r="E38">
        <v>23.973694257438222</v>
      </c>
      <c r="F38">
        <v>64.025605469942107</v>
      </c>
      <c r="H38" s="1">
        <v>45917</v>
      </c>
      <c r="I38" t="s">
        <v>4</v>
      </c>
      <c r="J38">
        <v>45</v>
      </c>
      <c r="K38" s="2">
        <v>4.5</v>
      </c>
      <c r="L38">
        <v>3</v>
      </c>
      <c r="M38">
        <v>17</v>
      </c>
      <c r="N38">
        <v>15</v>
      </c>
      <c r="O38">
        <v>17</v>
      </c>
      <c r="P38">
        <v>16</v>
      </c>
      <c r="Q38">
        <v>16</v>
      </c>
      <c r="R38">
        <v>17</v>
      </c>
      <c r="S38">
        <v>75.7</v>
      </c>
      <c r="T38">
        <v>2025</v>
      </c>
    </row>
    <row r="39" spans="1:20" x14ac:dyDescent="0.25">
      <c r="A39" t="s">
        <v>14</v>
      </c>
      <c r="B39" t="s">
        <v>352</v>
      </c>
      <c r="C39">
        <v>7.1488751209223</v>
      </c>
      <c r="D39">
        <v>14.888334274291999</v>
      </c>
      <c r="E39">
        <v>23.973694257438222</v>
      </c>
      <c r="F39">
        <v>64.025605469942107</v>
      </c>
      <c r="H39" s="1">
        <v>45917</v>
      </c>
      <c r="I39" t="s">
        <v>5</v>
      </c>
      <c r="J39">
        <v>60</v>
      </c>
      <c r="K39" s="2">
        <v>5</v>
      </c>
      <c r="L39">
        <v>3.8</v>
      </c>
      <c r="M39">
        <v>17</v>
      </c>
      <c r="N39">
        <v>16</v>
      </c>
      <c r="O39">
        <v>17</v>
      </c>
      <c r="P39">
        <v>17</v>
      </c>
      <c r="Q39">
        <v>17</v>
      </c>
      <c r="R39">
        <v>17</v>
      </c>
      <c r="S39">
        <v>75.7</v>
      </c>
      <c r="T39">
        <v>2025</v>
      </c>
    </row>
    <row r="40" spans="1:20" x14ac:dyDescent="0.25">
      <c r="A40" t="s">
        <v>14</v>
      </c>
      <c r="B40" t="s">
        <v>352</v>
      </c>
      <c r="C40">
        <v>7.1488751209223</v>
      </c>
      <c r="D40">
        <v>14.888334274291999</v>
      </c>
      <c r="E40">
        <v>23.973694257438222</v>
      </c>
      <c r="F40">
        <v>64.025605469942107</v>
      </c>
      <c r="H40" s="1">
        <v>45917</v>
      </c>
      <c r="I40" t="s">
        <v>6</v>
      </c>
      <c r="J40">
        <v>75</v>
      </c>
      <c r="K40" s="2">
        <v>5.3</v>
      </c>
      <c r="L40">
        <v>4.5</v>
      </c>
      <c r="M40">
        <v>17</v>
      </c>
      <c r="N40">
        <v>15</v>
      </c>
      <c r="O40">
        <v>12</v>
      </c>
      <c r="P40">
        <v>9</v>
      </c>
      <c r="Q40">
        <v>17</v>
      </c>
      <c r="R40">
        <v>17</v>
      </c>
      <c r="S40">
        <v>75.7</v>
      </c>
      <c r="T40">
        <v>2025</v>
      </c>
    </row>
    <row r="41" spans="1:20" x14ac:dyDescent="0.25">
      <c r="A41" t="s">
        <v>14</v>
      </c>
      <c r="B41" t="s">
        <v>352</v>
      </c>
      <c r="C41">
        <v>7.1488751209223</v>
      </c>
      <c r="D41">
        <v>14.888334274291999</v>
      </c>
      <c r="E41">
        <v>23.973694257438222</v>
      </c>
      <c r="F41">
        <v>64.025605469942107</v>
      </c>
      <c r="H41" s="1">
        <v>45917</v>
      </c>
      <c r="I41" t="s">
        <v>7</v>
      </c>
      <c r="J41">
        <v>90</v>
      </c>
      <c r="K41" s="2">
        <v>5.6</v>
      </c>
      <c r="L41">
        <v>5.0999999999999996</v>
      </c>
      <c r="M41">
        <v>17</v>
      </c>
      <c r="N41">
        <v>17</v>
      </c>
      <c r="O41">
        <v>16</v>
      </c>
      <c r="P41">
        <v>17</v>
      </c>
      <c r="Q41">
        <v>17</v>
      </c>
      <c r="R41">
        <v>17</v>
      </c>
      <c r="S41">
        <v>75.7</v>
      </c>
      <c r="T41">
        <v>2025</v>
      </c>
    </row>
    <row r="42" spans="1:20" x14ac:dyDescent="0.25">
      <c r="A42" t="s">
        <v>14</v>
      </c>
      <c r="B42" t="s">
        <v>352</v>
      </c>
      <c r="C42">
        <v>7.1488751209223</v>
      </c>
      <c r="D42">
        <v>14.888334274291999</v>
      </c>
      <c r="E42">
        <v>23.973694257438222</v>
      </c>
      <c r="F42">
        <v>64.025605469942107</v>
      </c>
      <c r="H42" s="1">
        <v>45917</v>
      </c>
      <c r="I42" t="s">
        <v>8</v>
      </c>
      <c r="J42">
        <v>105</v>
      </c>
      <c r="K42" s="2">
        <v>5.8</v>
      </c>
      <c r="L42">
        <v>4.2</v>
      </c>
      <c r="M42">
        <v>17</v>
      </c>
      <c r="N42">
        <v>15</v>
      </c>
      <c r="O42">
        <v>17</v>
      </c>
      <c r="P42">
        <v>17</v>
      </c>
      <c r="Q42">
        <v>17</v>
      </c>
      <c r="R42">
        <v>17</v>
      </c>
      <c r="S42">
        <v>75.7</v>
      </c>
      <c r="T42">
        <v>2025</v>
      </c>
    </row>
    <row r="43" spans="1:20" x14ac:dyDescent="0.25">
      <c r="A43" t="s">
        <v>14</v>
      </c>
      <c r="B43" t="s">
        <v>352</v>
      </c>
      <c r="C43">
        <v>7.1488751209223</v>
      </c>
      <c r="D43">
        <v>14.888334274291999</v>
      </c>
      <c r="E43">
        <v>23.973694257438222</v>
      </c>
      <c r="F43">
        <v>64.025605469942107</v>
      </c>
      <c r="H43" s="1">
        <v>45917</v>
      </c>
      <c r="I43" t="s">
        <v>9</v>
      </c>
      <c r="J43">
        <v>120</v>
      </c>
      <c r="K43" s="2">
        <v>3.9</v>
      </c>
      <c r="L43">
        <v>3.4</v>
      </c>
      <c r="M43">
        <v>17</v>
      </c>
      <c r="N43">
        <v>17</v>
      </c>
      <c r="O43">
        <v>17</v>
      </c>
      <c r="P43">
        <v>17</v>
      </c>
      <c r="Q43">
        <v>17</v>
      </c>
      <c r="R43">
        <v>17</v>
      </c>
      <c r="S43">
        <v>75.7</v>
      </c>
      <c r="T43">
        <v>2025</v>
      </c>
    </row>
    <row r="44" spans="1:20" x14ac:dyDescent="0.25">
      <c r="A44" t="s">
        <v>14</v>
      </c>
      <c r="B44" t="s">
        <v>352</v>
      </c>
      <c r="C44">
        <v>7.1488751209223</v>
      </c>
      <c r="D44">
        <v>14.888334274291999</v>
      </c>
      <c r="E44">
        <v>23.973694257438222</v>
      </c>
      <c r="F44">
        <v>64.025605469942107</v>
      </c>
      <c r="H44" s="1">
        <v>45917</v>
      </c>
      <c r="I44" t="s">
        <v>10</v>
      </c>
      <c r="J44">
        <v>135</v>
      </c>
      <c r="K44" s="2">
        <v>3.6</v>
      </c>
      <c r="L44">
        <v>3.2</v>
      </c>
      <c r="M44">
        <v>15</v>
      </c>
      <c r="N44">
        <v>16</v>
      </c>
      <c r="O44">
        <v>17</v>
      </c>
      <c r="P44">
        <v>13</v>
      </c>
      <c r="Q44">
        <v>16</v>
      </c>
      <c r="R44">
        <v>17</v>
      </c>
      <c r="S44">
        <v>75.7</v>
      </c>
      <c r="T44">
        <v>2025</v>
      </c>
    </row>
    <row r="45" spans="1:20" x14ac:dyDescent="0.25">
      <c r="A45" t="s">
        <v>14</v>
      </c>
      <c r="B45" t="s">
        <v>352</v>
      </c>
      <c r="C45">
        <v>7.1488751209223</v>
      </c>
      <c r="D45">
        <v>14.888334274291999</v>
      </c>
      <c r="E45">
        <v>23.973694257438222</v>
      </c>
      <c r="F45">
        <v>64.025605469942107</v>
      </c>
      <c r="H45" s="1">
        <v>45917</v>
      </c>
      <c r="I45" t="s">
        <v>11</v>
      </c>
      <c r="J45">
        <v>150</v>
      </c>
      <c r="K45" s="2">
        <v>3.9</v>
      </c>
      <c r="L45">
        <v>2.9</v>
      </c>
      <c r="M45">
        <v>17</v>
      </c>
      <c r="N45">
        <v>17</v>
      </c>
      <c r="O45">
        <v>17</v>
      </c>
      <c r="P45">
        <v>16</v>
      </c>
      <c r="Q45">
        <v>17</v>
      </c>
      <c r="R45">
        <v>17</v>
      </c>
      <c r="S45">
        <v>75.7</v>
      </c>
      <c r="T45">
        <v>2025</v>
      </c>
    </row>
    <row r="46" spans="1:20" x14ac:dyDescent="0.25">
      <c r="A46" t="s">
        <v>15</v>
      </c>
      <c r="B46" t="s">
        <v>341</v>
      </c>
      <c r="C46">
        <v>1.59326681790453</v>
      </c>
      <c r="D46">
        <v>47.5797309875488</v>
      </c>
      <c r="E46">
        <v>88.709937408566475</v>
      </c>
      <c r="F46">
        <v>0.89951362460851603</v>
      </c>
      <c r="H46" s="1">
        <v>45917</v>
      </c>
      <c r="I46" t="s">
        <v>0</v>
      </c>
      <c r="J46">
        <v>0</v>
      </c>
      <c r="K46" s="2">
        <v>2.4</v>
      </c>
      <c r="L46">
        <v>2.1</v>
      </c>
      <c r="M46">
        <v>17</v>
      </c>
      <c r="N46">
        <v>17</v>
      </c>
      <c r="O46">
        <v>17</v>
      </c>
      <c r="P46">
        <v>17</v>
      </c>
      <c r="Q46">
        <v>17</v>
      </c>
      <c r="R46">
        <v>17</v>
      </c>
      <c r="S46">
        <v>21.5</v>
      </c>
      <c r="T46">
        <v>2025</v>
      </c>
    </row>
    <row r="47" spans="1:20" x14ac:dyDescent="0.25">
      <c r="A47" t="s">
        <v>15</v>
      </c>
      <c r="B47" t="s">
        <v>341</v>
      </c>
      <c r="C47">
        <v>1.59326681790453</v>
      </c>
      <c r="D47">
        <v>47.5797309875488</v>
      </c>
      <c r="E47">
        <v>88.709937408566475</v>
      </c>
      <c r="F47">
        <v>0.89951362460851603</v>
      </c>
      <c r="H47" s="1">
        <v>45917</v>
      </c>
      <c r="I47" t="s">
        <v>1</v>
      </c>
      <c r="J47">
        <v>15</v>
      </c>
      <c r="K47" s="2">
        <v>2.5</v>
      </c>
      <c r="L47">
        <v>1.6</v>
      </c>
      <c r="M47">
        <v>17</v>
      </c>
      <c r="N47">
        <v>16</v>
      </c>
      <c r="O47">
        <v>17</v>
      </c>
      <c r="P47">
        <v>17</v>
      </c>
      <c r="Q47">
        <v>17</v>
      </c>
      <c r="R47">
        <v>17</v>
      </c>
      <c r="S47">
        <v>21.5</v>
      </c>
      <c r="T47">
        <v>2025</v>
      </c>
    </row>
    <row r="48" spans="1:20" x14ac:dyDescent="0.25">
      <c r="A48" t="s">
        <v>15</v>
      </c>
      <c r="B48" t="s">
        <v>341</v>
      </c>
      <c r="C48">
        <v>1.59326681790453</v>
      </c>
      <c r="D48">
        <v>47.5797309875488</v>
      </c>
      <c r="E48">
        <v>88.709937408566475</v>
      </c>
      <c r="F48">
        <v>0.89951362460851603</v>
      </c>
      <c r="H48" s="1">
        <v>45917</v>
      </c>
      <c r="I48" t="s">
        <v>3</v>
      </c>
      <c r="J48">
        <v>30</v>
      </c>
      <c r="K48" s="2">
        <v>2</v>
      </c>
      <c r="L48">
        <v>2.1</v>
      </c>
      <c r="M48">
        <v>17</v>
      </c>
      <c r="N48">
        <v>17</v>
      </c>
      <c r="O48">
        <v>17</v>
      </c>
      <c r="P48">
        <v>17</v>
      </c>
      <c r="Q48">
        <v>17</v>
      </c>
      <c r="R48">
        <v>17</v>
      </c>
      <c r="S48">
        <v>21.5</v>
      </c>
      <c r="T48">
        <v>2025</v>
      </c>
    </row>
    <row r="49" spans="1:20" x14ac:dyDescent="0.25">
      <c r="A49" t="s">
        <v>15</v>
      </c>
      <c r="B49" t="s">
        <v>341</v>
      </c>
      <c r="C49">
        <v>1.59326681790453</v>
      </c>
      <c r="D49">
        <v>47.5797309875488</v>
      </c>
      <c r="E49">
        <v>88.709937408566475</v>
      </c>
      <c r="F49">
        <v>0.89951362460851603</v>
      </c>
      <c r="H49" s="1">
        <v>45917</v>
      </c>
      <c r="I49" t="s">
        <v>4</v>
      </c>
      <c r="J49">
        <v>45</v>
      </c>
      <c r="K49" s="2">
        <v>5.0999999999999996</v>
      </c>
      <c r="L49">
        <v>3</v>
      </c>
      <c r="M49">
        <v>17</v>
      </c>
      <c r="N49">
        <v>16</v>
      </c>
      <c r="O49">
        <v>14</v>
      </c>
      <c r="P49">
        <v>11</v>
      </c>
      <c r="Q49">
        <v>17</v>
      </c>
      <c r="R49">
        <v>17</v>
      </c>
      <c r="S49">
        <v>21.5</v>
      </c>
      <c r="T49">
        <v>2025</v>
      </c>
    </row>
    <row r="50" spans="1:20" x14ac:dyDescent="0.25">
      <c r="A50" t="s">
        <v>15</v>
      </c>
      <c r="B50" t="s">
        <v>341</v>
      </c>
      <c r="C50">
        <v>1.59326681790453</v>
      </c>
      <c r="D50">
        <v>47.5797309875488</v>
      </c>
      <c r="E50">
        <v>88.709937408566475</v>
      </c>
      <c r="F50">
        <v>0.89951362460851603</v>
      </c>
      <c r="H50" s="1">
        <v>45917</v>
      </c>
      <c r="I50" t="s">
        <v>5</v>
      </c>
      <c r="J50">
        <v>60</v>
      </c>
      <c r="K50" s="2">
        <v>3.3</v>
      </c>
      <c r="L50">
        <v>3.1</v>
      </c>
      <c r="M50">
        <v>17</v>
      </c>
      <c r="N50">
        <v>13</v>
      </c>
      <c r="O50">
        <v>12</v>
      </c>
      <c r="P50">
        <v>12</v>
      </c>
      <c r="Q50">
        <v>14</v>
      </c>
      <c r="R50">
        <v>17</v>
      </c>
      <c r="S50">
        <v>21.5</v>
      </c>
      <c r="T50">
        <v>2025</v>
      </c>
    </row>
    <row r="51" spans="1:20" x14ac:dyDescent="0.25">
      <c r="A51" t="s">
        <v>15</v>
      </c>
      <c r="B51" t="s">
        <v>341</v>
      </c>
      <c r="C51">
        <v>1.59326681790453</v>
      </c>
      <c r="D51">
        <v>47.5797309875488</v>
      </c>
      <c r="E51">
        <v>88.709937408566475</v>
      </c>
      <c r="F51">
        <v>0.89951362460851603</v>
      </c>
      <c r="H51" s="1">
        <v>45917</v>
      </c>
      <c r="I51" t="s">
        <v>6</v>
      </c>
      <c r="J51">
        <v>75</v>
      </c>
      <c r="K51" s="2">
        <v>5.0999999999999996</v>
      </c>
      <c r="L51">
        <v>5</v>
      </c>
      <c r="M51">
        <v>17</v>
      </c>
      <c r="N51">
        <v>17</v>
      </c>
      <c r="O51">
        <v>17</v>
      </c>
      <c r="P51">
        <v>17</v>
      </c>
      <c r="Q51">
        <v>17</v>
      </c>
      <c r="R51">
        <v>17</v>
      </c>
      <c r="S51">
        <v>21.5</v>
      </c>
      <c r="T51">
        <v>2025</v>
      </c>
    </row>
    <row r="52" spans="1:20" x14ac:dyDescent="0.25">
      <c r="A52" t="s">
        <v>15</v>
      </c>
      <c r="B52" t="s">
        <v>341</v>
      </c>
      <c r="C52">
        <v>1.59326681790453</v>
      </c>
      <c r="D52">
        <v>47.5797309875488</v>
      </c>
      <c r="E52">
        <v>88.709937408566475</v>
      </c>
      <c r="F52">
        <v>0.89951362460851603</v>
      </c>
      <c r="H52" s="1">
        <v>45917</v>
      </c>
      <c r="I52" t="s">
        <v>7</v>
      </c>
      <c r="J52">
        <v>90</v>
      </c>
      <c r="K52" s="2">
        <v>2.1</v>
      </c>
      <c r="L52">
        <v>2.2000000000000002</v>
      </c>
      <c r="M52">
        <v>17</v>
      </c>
      <c r="N52">
        <v>15</v>
      </c>
      <c r="O52">
        <v>17</v>
      </c>
      <c r="P52">
        <v>15</v>
      </c>
      <c r="Q52">
        <v>14</v>
      </c>
      <c r="R52">
        <v>17</v>
      </c>
      <c r="S52">
        <v>21.5</v>
      </c>
      <c r="T52">
        <v>2025</v>
      </c>
    </row>
    <row r="53" spans="1:20" x14ac:dyDescent="0.25">
      <c r="A53" t="s">
        <v>15</v>
      </c>
      <c r="B53" t="s">
        <v>341</v>
      </c>
      <c r="C53">
        <v>1.59326681790453</v>
      </c>
      <c r="D53">
        <v>47.5797309875488</v>
      </c>
      <c r="E53">
        <v>88.709937408566475</v>
      </c>
      <c r="F53">
        <v>0.89951362460851603</v>
      </c>
      <c r="H53" s="1">
        <v>45917</v>
      </c>
      <c r="I53" t="s">
        <v>8</v>
      </c>
      <c r="J53">
        <v>105</v>
      </c>
      <c r="K53" s="2">
        <v>3</v>
      </c>
      <c r="L53">
        <v>1.4</v>
      </c>
      <c r="M53">
        <v>17</v>
      </c>
      <c r="N53">
        <v>17</v>
      </c>
      <c r="O53">
        <v>16</v>
      </c>
      <c r="P53">
        <v>15</v>
      </c>
      <c r="Q53">
        <v>17</v>
      </c>
      <c r="R53">
        <v>17</v>
      </c>
      <c r="S53">
        <v>21.5</v>
      </c>
      <c r="T53">
        <v>2025</v>
      </c>
    </row>
    <row r="54" spans="1:20" x14ac:dyDescent="0.25">
      <c r="A54" t="s">
        <v>15</v>
      </c>
      <c r="B54" t="s">
        <v>341</v>
      </c>
      <c r="C54">
        <v>1.59326681790453</v>
      </c>
      <c r="D54">
        <v>47.5797309875488</v>
      </c>
      <c r="E54">
        <v>88.709937408566475</v>
      </c>
      <c r="F54">
        <v>0.89951362460851603</v>
      </c>
      <c r="H54" s="1">
        <v>45917</v>
      </c>
      <c r="I54" t="s">
        <v>9</v>
      </c>
      <c r="J54">
        <v>120</v>
      </c>
      <c r="K54" s="2">
        <v>4.3</v>
      </c>
      <c r="L54">
        <v>1</v>
      </c>
      <c r="M54">
        <v>17</v>
      </c>
      <c r="N54">
        <v>17</v>
      </c>
      <c r="O54">
        <v>17</v>
      </c>
      <c r="P54">
        <v>17</v>
      </c>
      <c r="Q54">
        <v>17</v>
      </c>
      <c r="R54">
        <v>17</v>
      </c>
      <c r="S54">
        <v>21.5</v>
      </c>
      <c r="T54">
        <v>2025</v>
      </c>
    </row>
    <row r="55" spans="1:20" x14ac:dyDescent="0.25">
      <c r="A55" t="s">
        <v>15</v>
      </c>
      <c r="B55" t="s">
        <v>341</v>
      </c>
      <c r="C55">
        <v>1.59326681790453</v>
      </c>
      <c r="D55">
        <v>47.5797309875488</v>
      </c>
      <c r="E55">
        <v>88.709937408566475</v>
      </c>
      <c r="F55">
        <v>0.89951362460851603</v>
      </c>
      <c r="H55" s="1">
        <v>45917</v>
      </c>
      <c r="I55" t="s">
        <v>10</v>
      </c>
      <c r="J55">
        <v>135</v>
      </c>
      <c r="K55" s="2">
        <v>3.2</v>
      </c>
      <c r="L55">
        <v>1.7</v>
      </c>
      <c r="M55">
        <v>17</v>
      </c>
      <c r="N55">
        <v>16</v>
      </c>
      <c r="O55">
        <v>17</v>
      </c>
      <c r="P55">
        <v>17</v>
      </c>
      <c r="Q55">
        <v>17</v>
      </c>
      <c r="R55">
        <v>17</v>
      </c>
      <c r="S55">
        <v>21.5</v>
      </c>
      <c r="T55">
        <v>2025</v>
      </c>
    </row>
    <row r="56" spans="1:20" x14ac:dyDescent="0.25">
      <c r="A56" t="s">
        <v>15</v>
      </c>
      <c r="B56" t="s">
        <v>341</v>
      </c>
      <c r="C56">
        <v>1.59326681790453</v>
      </c>
      <c r="D56">
        <v>47.5797309875488</v>
      </c>
      <c r="E56">
        <v>88.709937408566475</v>
      </c>
      <c r="F56">
        <v>0.89951362460851603</v>
      </c>
      <c r="H56" s="1">
        <v>45917</v>
      </c>
      <c r="I56" t="s">
        <v>11</v>
      </c>
      <c r="J56">
        <v>150</v>
      </c>
      <c r="K56" s="2">
        <v>2</v>
      </c>
      <c r="L56">
        <v>1.1000000000000001</v>
      </c>
      <c r="M56">
        <v>17</v>
      </c>
      <c r="N56">
        <v>17</v>
      </c>
      <c r="O56">
        <v>17</v>
      </c>
      <c r="P56">
        <v>17</v>
      </c>
      <c r="Q56">
        <v>17</v>
      </c>
      <c r="R56">
        <v>17</v>
      </c>
      <c r="S56">
        <v>21.5</v>
      </c>
      <c r="T56">
        <v>2025</v>
      </c>
    </row>
    <row r="57" spans="1:20" x14ac:dyDescent="0.25">
      <c r="A57" t="s">
        <v>16</v>
      </c>
      <c r="B57" t="s">
        <v>299</v>
      </c>
      <c r="C57">
        <v>7.2169689114037299</v>
      </c>
      <c r="D57">
        <v>50.016532897949197</v>
      </c>
      <c r="E57">
        <v>87.002524733543424</v>
      </c>
      <c r="F57">
        <v>3.8859465974383043</v>
      </c>
      <c r="H57" s="1">
        <v>45917</v>
      </c>
      <c r="I57" t="s">
        <v>0</v>
      </c>
      <c r="J57">
        <v>0</v>
      </c>
      <c r="K57" s="2">
        <v>8.3000000000000007</v>
      </c>
      <c r="L57">
        <v>7</v>
      </c>
      <c r="M57">
        <v>17</v>
      </c>
      <c r="N57">
        <v>15</v>
      </c>
      <c r="O57">
        <v>11</v>
      </c>
      <c r="P57">
        <v>17</v>
      </c>
      <c r="Q57">
        <v>17</v>
      </c>
      <c r="R57">
        <v>15</v>
      </c>
      <c r="S57">
        <v>0.4</v>
      </c>
      <c r="T57">
        <v>2025</v>
      </c>
    </row>
    <row r="58" spans="1:20" x14ac:dyDescent="0.25">
      <c r="A58" t="s">
        <v>16</v>
      </c>
      <c r="B58" t="s">
        <v>299</v>
      </c>
      <c r="C58">
        <v>7.2169689114037299</v>
      </c>
      <c r="D58">
        <v>50.016532897949197</v>
      </c>
      <c r="E58">
        <v>87.002524733543424</v>
      </c>
      <c r="F58">
        <v>3.8859465974383043</v>
      </c>
      <c r="H58" s="1">
        <v>45917</v>
      </c>
      <c r="I58" t="s">
        <v>1</v>
      </c>
      <c r="J58">
        <v>15</v>
      </c>
      <c r="K58" s="2">
        <v>5.9</v>
      </c>
      <c r="L58">
        <v>3.7</v>
      </c>
      <c r="M58">
        <v>17</v>
      </c>
      <c r="N58">
        <v>17</v>
      </c>
      <c r="O58">
        <v>15</v>
      </c>
      <c r="P58">
        <v>16</v>
      </c>
      <c r="Q58">
        <v>17</v>
      </c>
      <c r="R58">
        <v>17</v>
      </c>
      <c r="S58">
        <v>0.4</v>
      </c>
      <c r="T58">
        <v>2025</v>
      </c>
    </row>
    <row r="59" spans="1:20" x14ac:dyDescent="0.25">
      <c r="A59" t="s">
        <v>16</v>
      </c>
      <c r="B59" t="s">
        <v>299</v>
      </c>
      <c r="C59">
        <v>7.2169689114037299</v>
      </c>
      <c r="D59">
        <v>50.016532897949197</v>
      </c>
      <c r="E59">
        <v>87.002524733543424</v>
      </c>
      <c r="F59">
        <v>3.8859465974383043</v>
      </c>
      <c r="H59" s="1">
        <v>45917</v>
      </c>
      <c r="I59" t="s">
        <v>3</v>
      </c>
      <c r="J59">
        <v>30</v>
      </c>
      <c r="K59" s="2">
        <v>7.1</v>
      </c>
      <c r="L59">
        <v>6.6</v>
      </c>
      <c r="M59">
        <v>17</v>
      </c>
      <c r="N59">
        <v>17</v>
      </c>
      <c r="O59">
        <v>17</v>
      </c>
      <c r="P59">
        <v>17</v>
      </c>
      <c r="Q59">
        <v>17</v>
      </c>
      <c r="R59">
        <v>17</v>
      </c>
      <c r="S59">
        <v>0.4</v>
      </c>
      <c r="T59">
        <v>2025</v>
      </c>
    </row>
    <row r="60" spans="1:20" x14ac:dyDescent="0.25">
      <c r="A60" t="s">
        <v>16</v>
      </c>
      <c r="B60" t="s">
        <v>299</v>
      </c>
      <c r="C60">
        <v>7.2169689114037299</v>
      </c>
      <c r="D60">
        <v>50.016532897949197</v>
      </c>
      <c r="E60">
        <v>87.002524733543424</v>
      </c>
      <c r="F60">
        <v>3.8859465974383043</v>
      </c>
      <c r="H60" s="1">
        <v>45917</v>
      </c>
      <c r="I60" t="s">
        <v>4</v>
      </c>
      <c r="J60">
        <v>45</v>
      </c>
      <c r="K60" s="2">
        <v>7</v>
      </c>
      <c r="L60">
        <v>7</v>
      </c>
      <c r="M60">
        <v>15</v>
      </c>
      <c r="N60">
        <v>16</v>
      </c>
      <c r="O60">
        <v>17</v>
      </c>
      <c r="P60">
        <v>16</v>
      </c>
      <c r="Q60">
        <v>17</v>
      </c>
      <c r="R60">
        <v>15</v>
      </c>
      <c r="S60">
        <v>0.4</v>
      </c>
      <c r="T60">
        <v>2025</v>
      </c>
    </row>
    <row r="61" spans="1:20" x14ac:dyDescent="0.25">
      <c r="A61" t="s">
        <v>16</v>
      </c>
      <c r="B61" t="s">
        <v>299</v>
      </c>
      <c r="C61">
        <v>7.2169689114037299</v>
      </c>
      <c r="D61">
        <v>50.016532897949197</v>
      </c>
      <c r="E61">
        <v>87.002524733543424</v>
      </c>
      <c r="F61">
        <v>3.8859465974383043</v>
      </c>
      <c r="H61" s="1">
        <v>45917</v>
      </c>
      <c r="I61" t="s">
        <v>5</v>
      </c>
      <c r="J61">
        <v>60</v>
      </c>
      <c r="K61" s="2">
        <v>5.6</v>
      </c>
      <c r="L61">
        <v>5.6</v>
      </c>
      <c r="M61">
        <v>17</v>
      </c>
      <c r="N61">
        <v>15</v>
      </c>
      <c r="O61">
        <v>14</v>
      </c>
      <c r="P61">
        <v>16</v>
      </c>
      <c r="Q61">
        <v>16</v>
      </c>
      <c r="R61">
        <v>17</v>
      </c>
      <c r="S61">
        <v>0.4</v>
      </c>
      <c r="T61">
        <v>2025</v>
      </c>
    </row>
    <row r="62" spans="1:20" x14ac:dyDescent="0.25">
      <c r="A62" t="s">
        <v>16</v>
      </c>
      <c r="B62" t="s">
        <v>299</v>
      </c>
      <c r="C62">
        <v>7.2169689114037299</v>
      </c>
      <c r="D62">
        <v>50.016532897949197</v>
      </c>
      <c r="E62">
        <v>87.002524733543424</v>
      </c>
      <c r="F62">
        <v>3.8859465974383043</v>
      </c>
      <c r="H62" s="1">
        <v>45917</v>
      </c>
      <c r="I62" t="s">
        <v>6</v>
      </c>
      <c r="J62">
        <v>75</v>
      </c>
      <c r="K62" s="2">
        <v>6</v>
      </c>
      <c r="L62">
        <v>6</v>
      </c>
      <c r="M62">
        <v>16</v>
      </c>
      <c r="N62">
        <v>17</v>
      </c>
      <c r="O62">
        <v>14</v>
      </c>
      <c r="P62">
        <v>16</v>
      </c>
      <c r="Q62">
        <v>13</v>
      </c>
      <c r="R62">
        <v>16</v>
      </c>
      <c r="S62">
        <v>0.4</v>
      </c>
      <c r="T62">
        <v>2025</v>
      </c>
    </row>
    <row r="63" spans="1:20" x14ac:dyDescent="0.25">
      <c r="A63" t="s">
        <v>16</v>
      </c>
      <c r="B63" t="s">
        <v>299</v>
      </c>
      <c r="C63">
        <v>7.2169689114037299</v>
      </c>
      <c r="D63">
        <v>50.016532897949197</v>
      </c>
      <c r="E63">
        <v>87.002524733543424</v>
      </c>
      <c r="F63">
        <v>3.8859465974383043</v>
      </c>
      <c r="H63" s="1">
        <v>45917</v>
      </c>
      <c r="I63" t="s">
        <v>7</v>
      </c>
      <c r="J63">
        <v>90</v>
      </c>
      <c r="K63" s="2">
        <v>6.6</v>
      </c>
      <c r="L63">
        <v>7.5</v>
      </c>
      <c r="M63">
        <v>13</v>
      </c>
      <c r="N63">
        <v>15</v>
      </c>
      <c r="O63">
        <v>15</v>
      </c>
      <c r="P63">
        <v>17</v>
      </c>
      <c r="Q63">
        <v>12</v>
      </c>
      <c r="R63">
        <v>17</v>
      </c>
      <c r="S63">
        <v>0.4</v>
      </c>
      <c r="T63">
        <v>2025</v>
      </c>
    </row>
    <row r="64" spans="1:20" x14ac:dyDescent="0.25">
      <c r="A64" t="s">
        <v>16</v>
      </c>
      <c r="B64" t="s">
        <v>299</v>
      </c>
      <c r="C64">
        <v>7.2169689114037299</v>
      </c>
      <c r="D64">
        <v>50.016532897949197</v>
      </c>
      <c r="E64">
        <v>87.002524733543424</v>
      </c>
      <c r="F64">
        <v>3.8859465974383043</v>
      </c>
      <c r="H64" s="1">
        <v>45917</v>
      </c>
      <c r="I64" t="s">
        <v>8</v>
      </c>
      <c r="J64">
        <v>105</v>
      </c>
      <c r="K64" s="2">
        <v>5</v>
      </c>
      <c r="L64">
        <v>4.4000000000000004</v>
      </c>
      <c r="M64">
        <v>16</v>
      </c>
      <c r="N64">
        <v>15</v>
      </c>
      <c r="O64">
        <v>15</v>
      </c>
      <c r="P64">
        <v>17</v>
      </c>
      <c r="Q64">
        <v>17</v>
      </c>
      <c r="R64">
        <v>17</v>
      </c>
      <c r="S64">
        <v>0.4</v>
      </c>
      <c r="T64">
        <v>2025</v>
      </c>
    </row>
    <row r="65" spans="1:20" x14ac:dyDescent="0.25">
      <c r="A65" t="s">
        <v>16</v>
      </c>
      <c r="B65" t="s">
        <v>299</v>
      </c>
      <c r="C65">
        <v>7.2169689114037299</v>
      </c>
      <c r="D65">
        <v>50.016532897949197</v>
      </c>
      <c r="E65">
        <v>87.002524733543424</v>
      </c>
      <c r="F65">
        <v>3.8859465974383043</v>
      </c>
      <c r="H65" s="1">
        <v>45917</v>
      </c>
      <c r="I65" t="s">
        <v>9</v>
      </c>
      <c r="J65">
        <v>120</v>
      </c>
      <c r="K65" s="2">
        <v>3.3</v>
      </c>
      <c r="L65">
        <v>2.2000000000000002</v>
      </c>
      <c r="M65">
        <v>17</v>
      </c>
      <c r="N65">
        <v>17</v>
      </c>
      <c r="O65">
        <v>17</v>
      </c>
      <c r="P65">
        <v>17</v>
      </c>
      <c r="Q65">
        <v>17</v>
      </c>
      <c r="R65">
        <v>17</v>
      </c>
      <c r="S65">
        <v>0.4</v>
      </c>
      <c r="T65">
        <v>2025</v>
      </c>
    </row>
    <row r="66" spans="1:20" x14ac:dyDescent="0.25">
      <c r="A66" t="s">
        <v>16</v>
      </c>
      <c r="B66" t="s">
        <v>299</v>
      </c>
      <c r="C66">
        <v>7.2169689114037299</v>
      </c>
      <c r="D66">
        <v>50.016532897949197</v>
      </c>
      <c r="E66">
        <v>87.002524733543424</v>
      </c>
      <c r="F66">
        <v>3.8859465974383043</v>
      </c>
      <c r="H66" s="1">
        <v>45917</v>
      </c>
      <c r="I66" t="s">
        <v>10</v>
      </c>
      <c r="J66">
        <v>135</v>
      </c>
      <c r="K66" s="2">
        <v>3.7</v>
      </c>
      <c r="L66">
        <v>3.3</v>
      </c>
      <c r="M66">
        <v>17</v>
      </c>
      <c r="N66">
        <v>17</v>
      </c>
      <c r="O66">
        <v>17</v>
      </c>
      <c r="P66">
        <v>17</v>
      </c>
      <c r="Q66">
        <v>17</v>
      </c>
      <c r="R66">
        <v>17</v>
      </c>
      <c r="S66">
        <v>0.4</v>
      </c>
      <c r="T66">
        <v>2025</v>
      </c>
    </row>
    <row r="67" spans="1:20" x14ac:dyDescent="0.25">
      <c r="A67" t="s">
        <v>16</v>
      </c>
      <c r="B67" t="s">
        <v>299</v>
      </c>
      <c r="C67">
        <v>7.2169689114037299</v>
      </c>
      <c r="D67">
        <v>50.016532897949197</v>
      </c>
      <c r="E67">
        <v>87.002524733543424</v>
      </c>
      <c r="F67">
        <v>3.8859465974383043</v>
      </c>
      <c r="H67" s="1">
        <v>45917</v>
      </c>
      <c r="I67" t="s">
        <v>11</v>
      </c>
      <c r="J67">
        <v>150</v>
      </c>
      <c r="K67" s="2">
        <v>4.8</v>
      </c>
      <c r="L67">
        <v>2.6</v>
      </c>
      <c r="M67">
        <v>17</v>
      </c>
      <c r="N67">
        <v>17</v>
      </c>
      <c r="O67">
        <v>17</v>
      </c>
      <c r="P67">
        <v>17</v>
      </c>
      <c r="Q67">
        <v>17</v>
      </c>
      <c r="R67">
        <v>17</v>
      </c>
      <c r="S67">
        <v>0.4</v>
      </c>
      <c r="T67">
        <v>2025</v>
      </c>
    </row>
    <row r="68" spans="1:20" x14ac:dyDescent="0.25">
      <c r="A68" t="s">
        <v>17</v>
      </c>
      <c r="B68" t="s">
        <v>346</v>
      </c>
      <c r="C68">
        <v>39.518710073950103</v>
      </c>
      <c r="D68">
        <v>8.3620071411132795</v>
      </c>
      <c r="E68">
        <v>16.072363613056964</v>
      </c>
      <c r="F68">
        <v>53.623634576797599</v>
      </c>
      <c r="H68" s="1">
        <v>45902</v>
      </c>
      <c r="I68" t="s">
        <v>0</v>
      </c>
      <c r="J68">
        <v>0</v>
      </c>
      <c r="K68" s="2">
        <v>5.3</v>
      </c>
      <c r="L68">
        <v>4</v>
      </c>
      <c r="M68">
        <v>17</v>
      </c>
      <c r="N68">
        <v>15</v>
      </c>
      <c r="O68">
        <v>16</v>
      </c>
      <c r="P68">
        <v>17</v>
      </c>
      <c r="Q68">
        <v>15</v>
      </c>
      <c r="R68">
        <v>17</v>
      </c>
      <c r="S68">
        <v>38.4</v>
      </c>
      <c r="T68">
        <v>2025</v>
      </c>
    </row>
    <row r="69" spans="1:20" x14ac:dyDescent="0.25">
      <c r="A69" t="s">
        <v>17</v>
      </c>
      <c r="B69" t="s">
        <v>346</v>
      </c>
      <c r="C69">
        <v>39.518710073950103</v>
      </c>
      <c r="D69">
        <v>8.3620071411132795</v>
      </c>
      <c r="E69">
        <v>16.072363613056964</v>
      </c>
      <c r="F69">
        <v>53.623634576797599</v>
      </c>
      <c r="H69" s="1">
        <v>45902</v>
      </c>
      <c r="I69" t="s">
        <v>1</v>
      </c>
      <c r="J69">
        <v>15</v>
      </c>
      <c r="K69" s="2">
        <v>6.6</v>
      </c>
      <c r="L69">
        <v>5.0999999999999996</v>
      </c>
      <c r="M69">
        <v>17</v>
      </c>
      <c r="N69">
        <v>16</v>
      </c>
      <c r="O69">
        <v>17</v>
      </c>
      <c r="P69">
        <v>17</v>
      </c>
      <c r="Q69">
        <v>17</v>
      </c>
      <c r="R69">
        <v>17</v>
      </c>
      <c r="S69">
        <v>38.4</v>
      </c>
      <c r="T69">
        <v>2025</v>
      </c>
    </row>
    <row r="70" spans="1:20" x14ac:dyDescent="0.25">
      <c r="A70" t="s">
        <v>17</v>
      </c>
      <c r="B70" t="s">
        <v>346</v>
      </c>
      <c r="C70">
        <v>39.518710073950103</v>
      </c>
      <c r="D70">
        <v>8.3620071411132795</v>
      </c>
      <c r="E70">
        <v>16.072363613056964</v>
      </c>
      <c r="F70">
        <v>53.623634576797599</v>
      </c>
      <c r="H70" s="1">
        <v>45902</v>
      </c>
      <c r="I70" t="s">
        <v>3</v>
      </c>
      <c r="J70">
        <v>30</v>
      </c>
      <c r="K70" s="2">
        <v>4.9000000000000004</v>
      </c>
      <c r="L70">
        <v>3.4</v>
      </c>
      <c r="M70">
        <v>17</v>
      </c>
      <c r="N70">
        <v>17</v>
      </c>
      <c r="O70">
        <v>17</v>
      </c>
      <c r="P70">
        <v>17</v>
      </c>
      <c r="Q70">
        <v>17</v>
      </c>
      <c r="R70">
        <v>17</v>
      </c>
      <c r="S70">
        <v>38.4</v>
      </c>
      <c r="T70">
        <v>2025</v>
      </c>
    </row>
    <row r="71" spans="1:20" x14ac:dyDescent="0.25">
      <c r="A71" t="s">
        <v>17</v>
      </c>
      <c r="B71" t="s">
        <v>346</v>
      </c>
      <c r="C71">
        <v>39.518710073950103</v>
      </c>
      <c r="D71">
        <v>8.3620071411132795</v>
      </c>
      <c r="E71">
        <v>16.072363613056964</v>
      </c>
      <c r="F71">
        <v>53.623634576797599</v>
      </c>
      <c r="H71" s="1">
        <v>45902</v>
      </c>
      <c r="I71" t="s">
        <v>4</v>
      </c>
      <c r="J71">
        <v>45</v>
      </c>
      <c r="K71" s="2">
        <v>5.8</v>
      </c>
      <c r="L71">
        <v>3.6</v>
      </c>
      <c r="M71">
        <v>17</v>
      </c>
      <c r="N71">
        <v>17</v>
      </c>
      <c r="O71">
        <v>17</v>
      </c>
      <c r="P71">
        <v>17</v>
      </c>
      <c r="Q71">
        <v>17</v>
      </c>
      <c r="R71">
        <v>17</v>
      </c>
      <c r="S71">
        <v>38.4</v>
      </c>
      <c r="T71">
        <v>2025</v>
      </c>
    </row>
    <row r="72" spans="1:20" x14ac:dyDescent="0.25">
      <c r="A72" t="s">
        <v>17</v>
      </c>
      <c r="B72" t="s">
        <v>346</v>
      </c>
      <c r="C72">
        <v>39.518710073950103</v>
      </c>
      <c r="D72">
        <v>8.3620071411132795</v>
      </c>
      <c r="E72">
        <v>16.072363613056964</v>
      </c>
      <c r="F72">
        <v>53.623634576797599</v>
      </c>
      <c r="H72" s="1">
        <v>45902</v>
      </c>
      <c r="I72" t="s">
        <v>5</v>
      </c>
      <c r="J72">
        <v>60</v>
      </c>
      <c r="K72" s="2">
        <v>4.8</v>
      </c>
      <c r="L72">
        <v>4.4000000000000004</v>
      </c>
      <c r="M72">
        <v>17</v>
      </c>
      <c r="N72">
        <v>17</v>
      </c>
      <c r="O72">
        <v>17</v>
      </c>
      <c r="P72">
        <v>17</v>
      </c>
      <c r="Q72">
        <v>17</v>
      </c>
      <c r="R72">
        <v>17</v>
      </c>
      <c r="S72">
        <v>38.4</v>
      </c>
      <c r="T72">
        <v>2025</v>
      </c>
    </row>
    <row r="73" spans="1:20" x14ac:dyDescent="0.25">
      <c r="A73" t="s">
        <v>17</v>
      </c>
      <c r="B73" t="s">
        <v>346</v>
      </c>
      <c r="C73">
        <v>39.518710073950103</v>
      </c>
      <c r="D73">
        <v>8.3620071411132795</v>
      </c>
      <c r="E73">
        <v>16.072363613056964</v>
      </c>
      <c r="F73">
        <v>53.623634576797599</v>
      </c>
      <c r="H73" s="1">
        <v>45902</v>
      </c>
      <c r="I73" t="s">
        <v>6</v>
      </c>
      <c r="J73">
        <v>75</v>
      </c>
      <c r="K73" s="2">
        <v>4.3</v>
      </c>
      <c r="L73">
        <v>3.7</v>
      </c>
      <c r="M73">
        <v>17</v>
      </c>
      <c r="N73">
        <v>4</v>
      </c>
      <c r="O73">
        <v>0</v>
      </c>
      <c r="P73">
        <v>6</v>
      </c>
      <c r="Q73">
        <v>2</v>
      </c>
      <c r="R73">
        <v>17</v>
      </c>
      <c r="S73">
        <v>38.4</v>
      </c>
      <c r="T73">
        <v>2025</v>
      </c>
    </row>
    <row r="74" spans="1:20" x14ac:dyDescent="0.25">
      <c r="A74" t="s">
        <v>17</v>
      </c>
      <c r="B74" t="s">
        <v>346</v>
      </c>
      <c r="C74">
        <v>39.518710073950103</v>
      </c>
      <c r="D74">
        <v>8.3620071411132795</v>
      </c>
      <c r="E74">
        <v>16.072363613056964</v>
      </c>
      <c r="F74">
        <v>53.623634576797599</v>
      </c>
      <c r="H74" s="1">
        <v>45902</v>
      </c>
      <c r="I74" t="s">
        <v>7</v>
      </c>
      <c r="J74">
        <v>90</v>
      </c>
      <c r="K74" s="2">
        <v>4.8</v>
      </c>
      <c r="L74">
        <v>4.2</v>
      </c>
      <c r="M74">
        <v>17</v>
      </c>
      <c r="N74">
        <v>0</v>
      </c>
      <c r="O74">
        <v>10</v>
      </c>
      <c r="P74">
        <v>6</v>
      </c>
      <c r="Q74">
        <v>6</v>
      </c>
      <c r="R74">
        <v>17</v>
      </c>
      <c r="S74">
        <v>38.4</v>
      </c>
      <c r="T74">
        <v>2025</v>
      </c>
    </row>
    <row r="75" spans="1:20" x14ac:dyDescent="0.25">
      <c r="A75" t="s">
        <v>17</v>
      </c>
      <c r="B75" t="s">
        <v>346</v>
      </c>
      <c r="C75">
        <v>39.518710073950103</v>
      </c>
      <c r="D75">
        <v>8.3620071411132795</v>
      </c>
      <c r="E75">
        <v>16.072363613056964</v>
      </c>
      <c r="F75">
        <v>53.623634576797599</v>
      </c>
      <c r="H75" s="1">
        <v>45902</v>
      </c>
      <c r="I75" t="s">
        <v>8</v>
      </c>
      <c r="J75">
        <v>105</v>
      </c>
      <c r="K75" s="2">
        <v>6.5</v>
      </c>
      <c r="L75">
        <v>4.8</v>
      </c>
      <c r="M75">
        <v>17</v>
      </c>
      <c r="N75">
        <v>14</v>
      </c>
      <c r="O75">
        <v>10</v>
      </c>
      <c r="P75">
        <v>0</v>
      </c>
      <c r="Q75">
        <v>9</v>
      </c>
      <c r="R75">
        <v>17</v>
      </c>
      <c r="S75">
        <v>38.4</v>
      </c>
      <c r="T75">
        <v>2025</v>
      </c>
    </row>
    <row r="76" spans="1:20" x14ac:dyDescent="0.25">
      <c r="A76" t="s">
        <v>17</v>
      </c>
      <c r="B76" t="s">
        <v>346</v>
      </c>
      <c r="C76">
        <v>39.518710073950103</v>
      </c>
      <c r="D76">
        <v>8.3620071411132795</v>
      </c>
      <c r="E76">
        <v>16.072363613056964</v>
      </c>
      <c r="F76">
        <v>53.623634576797599</v>
      </c>
      <c r="H76" s="1">
        <v>45902</v>
      </c>
      <c r="I76" t="s">
        <v>9</v>
      </c>
      <c r="J76">
        <v>120</v>
      </c>
      <c r="K76" s="2">
        <v>4.5999999999999996</v>
      </c>
      <c r="L76">
        <v>3.9</v>
      </c>
      <c r="M76">
        <v>17</v>
      </c>
      <c r="N76">
        <v>5</v>
      </c>
      <c r="O76">
        <v>0</v>
      </c>
      <c r="P76">
        <v>0</v>
      </c>
      <c r="Q76">
        <v>3</v>
      </c>
      <c r="R76">
        <v>17</v>
      </c>
      <c r="S76">
        <v>38.4</v>
      </c>
      <c r="T76">
        <v>2025</v>
      </c>
    </row>
    <row r="77" spans="1:20" x14ac:dyDescent="0.25">
      <c r="A77" t="s">
        <v>17</v>
      </c>
      <c r="B77" t="s">
        <v>346</v>
      </c>
      <c r="C77">
        <v>39.518710073950103</v>
      </c>
      <c r="D77">
        <v>8.3620071411132795</v>
      </c>
      <c r="E77">
        <v>16.072363613056964</v>
      </c>
      <c r="F77">
        <v>53.623634576797599</v>
      </c>
      <c r="H77" s="1">
        <v>45902</v>
      </c>
      <c r="I77" t="s">
        <v>10</v>
      </c>
      <c r="J77">
        <v>135</v>
      </c>
      <c r="K77" s="2">
        <v>4.0999999999999996</v>
      </c>
      <c r="L77">
        <v>3.4</v>
      </c>
      <c r="M77">
        <v>17</v>
      </c>
      <c r="N77">
        <v>6</v>
      </c>
      <c r="O77">
        <v>5</v>
      </c>
      <c r="P77">
        <v>14</v>
      </c>
      <c r="Q77">
        <v>1</v>
      </c>
      <c r="R77">
        <v>17</v>
      </c>
      <c r="S77">
        <v>38.4</v>
      </c>
      <c r="T77">
        <v>2025</v>
      </c>
    </row>
    <row r="78" spans="1:20" x14ac:dyDescent="0.25">
      <c r="A78" t="s">
        <v>17</v>
      </c>
      <c r="B78" t="s">
        <v>346</v>
      </c>
      <c r="C78">
        <v>39.518710073950103</v>
      </c>
      <c r="D78">
        <v>8.3620071411132795</v>
      </c>
      <c r="E78">
        <v>16.072363613056964</v>
      </c>
      <c r="F78">
        <v>53.623634576797599</v>
      </c>
      <c r="H78" s="1">
        <v>45902</v>
      </c>
      <c r="I78" t="s">
        <v>11</v>
      </c>
      <c r="J78">
        <v>150</v>
      </c>
      <c r="K78" s="2">
        <v>5.9</v>
      </c>
      <c r="L78">
        <v>3.4</v>
      </c>
      <c r="M78">
        <v>17</v>
      </c>
      <c r="N78">
        <v>11</v>
      </c>
      <c r="O78">
        <v>17</v>
      </c>
      <c r="P78">
        <v>16</v>
      </c>
      <c r="Q78">
        <v>17</v>
      </c>
      <c r="R78">
        <v>17</v>
      </c>
      <c r="S78">
        <v>38.4</v>
      </c>
      <c r="T78">
        <v>2025</v>
      </c>
    </row>
    <row r="79" spans="1:20" x14ac:dyDescent="0.25">
      <c r="A79" t="s">
        <v>18</v>
      </c>
      <c r="B79" t="s">
        <v>182</v>
      </c>
      <c r="C79">
        <v>41.881572729277899</v>
      </c>
      <c r="D79">
        <v>0.30042752623558</v>
      </c>
      <c r="E79">
        <v>0.42322519657318519</v>
      </c>
      <c r="F79">
        <v>77.890914841555031</v>
      </c>
      <c r="H79" s="1">
        <v>45902</v>
      </c>
      <c r="I79" t="s">
        <v>0</v>
      </c>
      <c r="J79">
        <v>0</v>
      </c>
      <c r="K79" s="2">
        <v>7.5</v>
      </c>
      <c r="L79">
        <v>3</v>
      </c>
      <c r="M79">
        <v>17</v>
      </c>
      <c r="N79">
        <v>6</v>
      </c>
      <c r="O79">
        <v>10</v>
      </c>
      <c r="P79">
        <v>15</v>
      </c>
      <c r="Q79">
        <v>4</v>
      </c>
      <c r="R79">
        <v>17</v>
      </c>
      <c r="S79">
        <v>81.7</v>
      </c>
      <c r="T79">
        <v>2025</v>
      </c>
    </row>
    <row r="80" spans="1:20" x14ac:dyDescent="0.25">
      <c r="A80" t="s">
        <v>18</v>
      </c>
      <c r="B80" t="s">
        <v>182</v>
      </c>
      <c r="C80">
        <v>41.881572729277899</v>
      </c>
      <c r="D80">
        <v>0.30042752623558</v>
      </c>
      <c r="E80">
        <v>0.42322519657318519</v>
      </c>
      <c r="F80">
        <v>77.890914841555031</v>
      </c>
      <c r="H80" s="1">
        <v>45902</v>
      </c>
      <c r="I80" t="s">
        <v>1</v>
      </c>
      <c r="J80">
        <v>15</v>
      </c>
      <c r="K80" s="2">
        <v>10.3</v>
      </c>
      <c r="L80">
        <v>5.5</v>
      </c>
      <c r="M80">
        <v>17</v>
      </c>
      <c r="N80">
        <v>17</v>
      </c>
      <c r="O80">
        <v>17</v>
      </c>
      <c r="P80">
        <v>17</v>
      </c>
      <c r="Q80">
        <v>17</v>
      </c>
      <c r="R80">
        <v>17</v>
      </c>
      <c r="S80">
        <v>81.7</v>
      </c>
      <c r="T80">
        <v>2025</v>
      </c>
    </row>
    <row r="81" spans="1:20" x14ac:dyDescent="0.25">
      <c r="A81" t="s">
        <v>18</v>
      </c>
      <c r="B81" t="s">
        <v>182</v>
      </c>
      <c r="C81">
        <v>41.881572729277899</v>
      </c>
      <c r="D81">
        <v>0.30042752623558</v>
      </c>
      <c r="E81">
        <v>0.42322519657318519</v>
      </c>
      <c r="F81">
        <v>77.890914841555031</v>
      </c>
      <c r="H81" s="1">
        <v>45902</v>
      </c>
      <c r="I81" t="s">
        <v>3</v>
      </c>
      <c r="J81">
        <v>30</v>
      </c>
      <c r="K81" s="2">
        <v>9</v>
      </c>
      <c r="L81">
        <v>6.3</v>
      </c>
      <c r="M81">
        <v>17</v>
      </c>
      <c r="N81">
        <v>2</v>
      </c>
      <c r="O81">
        <v>13</v>
      </c>
      <c r="P81">
        <v>15</v>
      </c>
      <c r="Q81">
        <v>11</v>
      </c>
      <c r="R81">
        <v>17</v>
      </c>
      <c r="S81">
        <v>81.7</v>
      </c>
      <c r="T81">
        <v>2025</v>
      </c>
    </row>
    <row r="82" spans="1:20" x14ac:dyDescent="0.25">
      <c r="A82" t="s">
        <v>18</v>
      </c>
      <c r="B82" t="s">
        <v>182</v>
      </c>
      <c r="C82">
        <v>41.881572729277899</v>
      </c>
      <c r="D82">
        <v>0.30042752623558</v>
      </c>
      <c r="E82">
        <v>0.42322519657318519</v>
      </c>
      <c r="F82">
        <v>77.890914841555031</v>
      </c>
      <c r="H82" s="1">
        <v>45902</v>
      </c>
      <c r="I82" t="s">
        <v>4</v>
      </c>
      <c r="J82">
        <v>45</v>
      </c>
      <c r="K82" s="2">
        <v>8.3000000000000007</v>
      </c>
      <c r="L82">
        <v>4.3</v>
      </c>
      <c r="M82">
        <v>17</v>
      </c>
      <c r="N82">
        <v>11</v>
      </c>
      <c r="O82">
        <v>0</v>
      </c>
      <c r="P82">
        <v>7</v>
      </c>
      <c r="Q82">
        <v>0</v>
      </c>
      <c r="R82">
        <v>17</v>
      </c>
      <c r="S82">
        <v>81.7</v>
      </c>
      <c r="T82">
        <v>2025</v>
      </c>
    </row>
    <row r="83" spans="1:20" x14ac:dyDescent="0.25">
      <c r="A83" t="s">
        <v>18</v>
      </c>
      <c r="B83" t="s">
        <v>182</v>
      </c>
      <c r="C83">
        <v>41.881572729277899</v>
      </c>
      <c r="D83">
        <v>0.30042752623558</v>
      </c>
      <c r="E83">
        <v>0.42322519657318519</v>
      </c>
      <c r="F83">
        <v>77.890914841555031</v>
      </c>
      <c r="H83" s="1">
        <v>45902</v>
      </c>
      <c r="I83" t="s">
        <v>5</v>
      </c>
      <c r="J83">
        <v>60</v>
      </c>
      <c r="K83" s="2">
        <v>9.5</v>
      </c>
      <c r="L83">
        <v>7.3</v>
      </c>
      <c r="M83">
        <v>17</v>
      </c>
      <c r="N83">
        <v>8</v>
      </c>
      <c r="O83">
        <v>0</v>
      </c>
      <c r="P83">
        <v>3</v>
      </c>
      <c r="Q83">
        <v>0</v>
      </c>
      <c r="R83">
        <v>17</v>
      </c>
      <c r="S83">
        <v>81.7</v>
      </c>
      <c r="T83">
        <v>2025</v>
      </c>
    </row>
    <row r="84" spans="1:20" x14ac:dyDescent="0.25">
      <c r="A84" t="s">
        <v>18</v>
      </c>
      <c r="B84" t="s">
        <v>182</v>
      </c>
      <c r="C84">
        <v>41.881572729277899</v>
      </c>
      <c r="D84">
        <v>0.30042752623558</v>
      </c>
      <c r="E84">
        <v>0.42322519657318519</v>
      </c>
      <c r="F84">
        <v>77.890914841555031</v>
      </c>
      <c r="H84" s="1">
        <v>45902</v>
      </c>
      <c r="I84" t="s">
        <v>6</v>
      </c>
      <c r="J84">
        <v>75</v>
      </c>
      <c r="K84" s="2">
        <v>6.7</v>
      </c>
      <c r="L84">
        <v>5.4</v>
      </c>
      <c r="M84">
        <v>17</v>
      </c>
      <c r="N84">
        <v>11</v>
      </c>
      <c r="O84">
        <v>12</v>
      </c>
      <c r="P84">
        <v>14</v>
      </c>
      <c r="Q84">
        <v>15</v>
      </c>
      <c r="R84">
        <v>17</v>
      </c>
      <c r="S84">
        <v>81.7</v>
      </c>
      <c r="T84">
        <v>2025</v>
      </c>
    </row>
    <row r="85" spans="1:20" x14ac:dyDescent="0.25">
      <c r="A85" t="s">
        <v>18</v>
      </c>
      <c r="B85" t="s">
        <v>182</v>
      </c>
      <c r="C85">
        <v>41.881572729277899</v>
      </c>
      <c r="D85">
        <v>0.30042752623558</v>
      </c>
      <c r="E85">
        <v>0.42322519657318519</v>
      </c>
      <c r="F85">
        <v>77.890914841555031</v>
      </c>
      <c r="H85" s="1">
        <v>45902</v>
      </c>
      <c r="I85" t="s">
        <v>7</v>
      </c>
      <c r="J85">
        <v>90</v>
      </c>
      <c r="K85" s="2">
        <v>8.4</v>
      </c>
      <c r="L85">
        <v>3.3</v>
      </c>
      <c r="M85">
        <v>17</v>
      </c>
      <c r="N85">
        <v>13</v>
      </c>
      <c r="O85">
        <v>13</v>
      </c>
      <c r="P85">
        <v>16</v>
      </c>
      <c r="Q85">
        <v>11</v>
      </c>
      <c r="R85">
        <v>17</v>
      </c>
      <c r="S85">
        <v>81.7</v>
      </c>
      <c r="T85">
        <v>2025</v>
      </c>
    </row>
    <row r="86" spans="1:20" x14ac:dyDescent="0.25">
      <c r="A86" t="s">
        <v>18</v>
      </c>
      <c r="B86" t="s">
        <v>182</v>
      </c>
      <c r="C86">
        <v>41.881572729277899</v>
      </c>
      <c r="D86">
        <v>0.30042752623558</v>
      </c>
      <c r="E86">
        <v>0.42322519657318519</v>
      </c>
      <c r="F86">
        <v>77.890914841555031</v>
      </c>
      <c r="H86" s="1">
        <v>45902</v>
      </c>
      <c r="I86" t="s">
        <v>8</v>
      </c>
      <c r="J86">
        <v>105</v>
      </c>
      <c r="K86" s="2">
        <v>10.1</v>
      </c>
      <c r="L86">
        <v>8.1999999999999993</v>
      </c>
      <c r="M86">
        <v>17</v>
      </c>
      <c r="N86">
        <v>14</v>
      </c>
      <c r="O86">
        <v>12</v>
      </c>
      <c r="P86">
        <v>16</v>
      </c>
      <c r="Q86">
        <v>13</v>
      </c>
      <c r="R86">
        <v>17</v>
      </c>
      <c r="S86">
        <v>81.7</v>
      </c>
      <c r="T86">
        <v>2025</v>
      </c>
    </row>
    <row r="87" spans="1:20" x14ac:dyDescent="0.25">
      <c r="A87" t="s">
        <v>18</v>
      </c>
      <c r="B87" t="s">
        <v>182</v>
      </c>
      <c r="C87">
        <v>41.881572729277899</v>
      </c>
      <c r="D87">
        <v>0.30042752623558</v>
      </c>
      <c r="E87">
        <v>0.42322519657318519</v>
      </c>
      <c r="F87">
        <v>77.890914841555031</v>
      </c>
      <c r="H87" s="1">
        <v>45902</v>
      </c>
      <c r="I87" t="s">
        <v>9</v>
      </c>
      <c r="J87">
        <v>120</v>
      </c>
      <c r="K87" s="2">
        <v>10.8</v>
      </c>
      <c r="L87">
        <v>5.5</v>
      </c>
      <c r="M87">
        <v>17</v>
      </c>
      <c r="N87">
        <v>11</v>
      </c>
      <c r="O87">
        <v>17</v>
      </c>
      <c r="P87">
        <v>15</v>
      </c>
      <c r="Q87">
        <v>17</v>
      </c>
      <c r="R87">
        <v>17</v>
      </c>
      <c r="S87">
        <v>81.7</v>
      </c>
      <c r="T87">
        <v>2025</v>
      </c>
    </row>
    <row r="88" spans="1:20" x14ac:dyDescent="0.25">
      <c r="A88" t="s">
        <v>18</v>
      </c>
      <c r="B88" t="s">
        <v>182</v>
      </c>
      <c r="C88">
        <v>41.881572729277899</v>
      </c>
      <c r="D88">
        <v>0.30042752623558</v>
      </c>
      <c r="E88">
        <v>0.42322519657318519</v>
      </c>
      <c r="F88">
        <v>77.890914841555031</v>
      </c>
      <c r="H88" s="1">
        <v>45902</v>
      </c>
      <c r="I88" t="s">
        <v>10</v>
      </c>
      <c r="J88">
        <v>135</v>
      </c>
      <c r="K88" s="2">
        <v>9.1</v>
      </c>
      <c r="L88">
        <v>6.4</v>
      </c>
      <c r="M88">
        <v>17</v>
      </c>
      <c r="N88">
        <v>13</v>
      </c>
      <c r="O88">
        <v>8</v>
      </c>
      <c r="P88">
        <v>11</v>
      </c>
      <c r="Q88">
        <v>12</v>
      </c>
      <c r="R88">
        <v>17</v>
      </c>
      <c r="S88">
        <v>81.7</v>
      </c>
      <c r="T88">
        <v>2025</v>
      </c>
    </row>
    <row r="89" spans="1:20" x14ac:dyDescent="0.25">
      <c r="A89" t="s">
        <v>18</v>
      </c>
      <c r="B89" t="s">
        <v>182</v>
      </c>
      <c r="C89">
        <v>41.881572729277899</v>
      </c>
      <c r="D89">
        <v>0.30042752623558</v>
      </c>
      <c r="E89">
        <v>0.42322519657318519</v>
      </c>
      <c r="F89">
        <v>77.890914841555031</v>
      </c>
      <c r="H89" s="1">
        <v>45902</v>
      </c>
      <c r="I89" t="s">
        <v>11</v>
      </c>
      <c r="J89">
        <v>150</v>
      </c>
      <c r="K89" s="2">
        <v>12.4</v>
      </c>
      <c r="L89">
        <v>8.1</v>
      </c>
      <c r="M89">
        <v>17</v>
      </c>
      <c r="N89">
        <v>11</v>
      </c>
      <c r="O89">
        <v>13</v>
      </c>
      <c r="P89">
        <v>12</v>
      </c>
      <c r="Q89">
        <v>10</v>
      </c>
      <c r="R89">
        <v>17</v>
      </c>
      <c r="S89">
        <v>81.7</v>
      </c>
      <c r="T89">
        <v>2025</v>
      </c>
    </row>
    <row r="90" spans="1:20" x14ac:dyDescent="0.25">
      <c r="A90" t="s">
        <v>19</v>
      </c>
      <c r="B90" t="s">
        <v>205</v>
      </c>
      <c r="C90">
        <v>18.022832893497799</v>
      </c>
      <c r="D90">
        <v>46.3825492858887</v>
      </c>
      <c r="E90">
        <v>83.633939176797867</v>
      </c>
      <c r="F90">
        <v>2.1120515186339617</v>
      </c>
      <c r="H90" s="1">
        <v>45915</v>
      </c>
      <c r="I90" t="s">
        <v>0</v>
      </c>
      <c r="J90">
        <v>0</v>
      </c>
      <c r="K90" s="2">
        <v>4.5</v>
      </c>
      <c r="L90">
        <v>3.7</v>
      </c>
      <c r="M90">
        <v>17</v>
      </c>
      <c r="N90">
        <v>17</v>
      </c>
      <c r="O90">
        <v>17</v>
      </c>
      <c r="P90">
        <v>16</v>
      </c>
      <c r="Q90">
        <v>17</v>
      </c>
      <c r="R90">
        <v>17</v>
      </c>
      <c r="S90">
        <v>25.4</v>
      </c>
      <c r="T90">
        <v>2025</v>
      </c>
    </row>
    <row r="91" spans="1:20" x14ac:dyDescent="0.25">
      <c r="A91" t="s">
        <v>19</v>
      </c>
      <c r="B91" t="s">
        <v>205</v>
      </c>
      <c r="C91">
        <v>18.022832893497799</v>
      </c>
      <c r="D91">
        <v>46.3825492858887</v>
      </c>
      <c r="E91">
        <v>83.633939176797867</v>
      </c>
      <c r="F91">
        <v>2.1120515186339617</v>
      </c>
      <c r="H91" s="1">
        <v>45915</v>
      </c>
      <c r="I91" t="s">
        <v>1</v>
      </c>
      <c r="J91">
        <v>15</v>
      </c>
      <c r="K91" s="2">
        <v>6.8</v>
      </c>
      <c r="L91">
        <v>3.6</v>
      </c>
      <c r="M91">
        <v>17</v>
      </c>
      <c r="N91">
        <v>17</v>
      </c>
      <c r="O91">
        <v>16</v>
      </c>
      <c r="P91">
        <v>16</v>
      </c>
      <c r="Q91">
        <v>17</v>
      </c>
      <c r="R91">
        <v>17</v>
      </c>
      <c r="S91">
        <v>25.4</v>
      </c>
      <c r="T91">
        <v>2025</v>
      </c>
    </row>
    <row r="92" spans="1:20" x14ac:dyDescent="0.25">
      <c r="A92" t="s">
        <v>19</v>
      </c>
      <c r="B92" t="s">
        <v>205</v>
      </c>
      <c r="C92">
        <v>18.022832893497799</v>
      </c>
      <c r="D92">
        <v>46.3825492858887</v>
      </c>
      <c r="E92">
        <v>83.633939176797867</v>
      </c>
      <c r="F92">
        <v>2.1120515186339617</v>
      </c>
      <c r="H92" s="1">
        <v>45915</v>
      </c>
      <c r="I92" t="s">
        <v>3</v>
      </c>
      <c r="J92">
        <v>30</v>
      </c>
      <c r="K92" s="2">
        <v>6.6</v>
      </c>
      <c r="L92">
        <v>5.4</v>
      </c>
      <c r="M92">
        <v>17</v>
      </c>
      <c r="N92">
        <v>17</v>
      </c>
      <c r="O92">
        <v>16</v>
      </c>
      <c r="P92">
        <v>16</v>
      </c>
      <c r="Q92">
        <v>17</v>
      </c>
      <c r="R92">
        <v>17</v>
      </c>
      <c r="S92">
        <v>25.4</v>
      </c>
      <c r="T92">
        <v>2025</v>
      </c>
    </row>
    <row r="93" spans="1:20" x14ac:dyDescent="0.25">
      <c r="A93" t="s">
        <v>19</v>
      </c>
      <c r="B93" t="s">
        <v>205</v>
      </c>
      <c r="C93">
        <v>18.022832893497799</v>
      </c>
      <c r="D93">
        <v>46.3825492858887</v>
      </c>
      <c r="E93">
        <v>83.633939176797867</v>
      </c>
      <c r="F93">
        <v>2.1120515186339617</v>
      </c>
      <c r="H93" s="1">
        <v>45915</v>
      </c>
      <c r="I93" t="s">
        <v>4</v>
      </c>
      <c r="J93">
        <v>45</v>
      </c>
      <c r="K93" s="2">
        <v>7.1</v>
      </c>
      <c r="L93">
        <v>7.2</v>
      </c>
      <c r="M93">
        <v>17</v>
      </c>
      <c r="N93">
        <v>17</v>
      </c>
      <c r="O93">
        <v>16</v>
      </c>
      <c r="P93">
        <v>17</v>
      </c>
      <c r="Q93">
        <v>16</v>
      </c>
      <c r="R93">
        <v>17</v>
      </c>
      <c r="S93">
        <v>25.4</v>
      </c>
      <c r="T93">
        <v>2025</v>
      </c>
    </row>
    <row r="94" spans="1:20" x14ac:dyDescent="0.25">
      <c r="A94" t="s">
        <v>19</v>
      </c>
      <c r="B94" t="s">
        <v>205</v>
      </c>
      <c r="C94">
        <v>18.022832893497799</v>
      </c>
      <c r="D94">
        <v>46.3825492858887</v>
      </c>
      <c r="E94">
        <v>83.633939176797867</v>
      </c>
      <c r="F94">
        <v>2.1120515186339617</v>
      </c>
      <c r="H94" s="1">
        <v>45915</v>
      </c>
      <c r="I94" t="s">
        <v>5</v>
      </c>
      <c r="J94">
        <v>60</v>
      </c>
      <c r="K94" s="2">
        <v>6.1</v>
      </c>
      <c r="L94">
        <v>3</v>
      </c>
      <c r="M94">
        <v>17</v>
      </c>
      <c r="N94">
        <v>17</v>
      </c>
      <c r="O94">
        <v>17</v>
      </c>
      <c r="P94">
        <v>17</v>
      </c>
      <c r="Q94">
        <v>17</v>
      </c>
      <c r="R94">
        <v>17</v>
      </c>
      <c r="S94">
        <v>25.4</v>
      </c>
      <c r="T94">
        <v>2025</v>
      </c>
    </row>
    <row r="95" spans="1:20" x14ac:dyDescent="0.25">
      <c r="A95" t="s">
        <v>19</v>
      </c>
      <c r="B95" t="s">
        <v>205</v>
      </c>
      <c r="C95">
        <v>18.022832893497799</v>
      </c>
      <c r="D95">
        <v>46.3825492858887</v>
      </c>
      <c r="E95">
        <v>83.633939176797867</v>
      </c>
      <c r="F95">
        <v>2.1120515186339617</v>
      </c>
      <c r="H95" s="1">
        <v>45915</v>
      </c>
      <c r="I95" t="s">
        <v>6</v>
      </c>
      <c r="J95">
        <v>75</v>
      </c>
      <c r="K95" s="2">
        <v>8.1</v>
      </c>
      <c r="L95">
        <v>6</v>
      </c>
      <c r="M95">
        <v>17</v>
      </c>
      <c r="N95">
        <v>17</v>
      </c>
      <c r="O95">
        <v>17</v>
      </c>
      <c r="P95">
        <v>17</v>
      </c>
      <c r="Q95">
        <v>17</v>
      </c>
      <c r="R95">
        <v>17</v>
      </c>
      <c r="S95">
        <v>25.4</v>
      </c>
      <c r="T95">
        <v>2025</v>
      </c>
    </row>
    <row r="96" spans="1:20" x14ac:dyDescent="0.25">
      <c r="A96" t="s">
        <v>19</v>
      </c>
      <c r="B96" t="s">
        <v>205</v>
      </c>
      <c r="C96">
        <v>18.022832893497799</v>
      </c>
      <c r="D96">
        <v>46.3825492858887</v>
      </c>
      <c r="E96">
        <v>83.633939176797867</v>
      </c>
      <c r="F96">
        <v>2.1120515186339617</v>
      </c>
      <c r="H96" s="1">
        <v>45915</v>
      </c>
      <c r="I96" t="s">
        <v>7</v>
      </c>
      <c r="J96">
        <v>90</v>
      </c>
      <c r="K96" s="2">
        <v>6.6</v>
      </c>
      <c r="L96">
        <v>6.6</v>
      </c>
      <c r="M96">
        <v>16</v>
      </c>
      <c r="N96">
        <v>17</v>
      </c>
      <c r="O96">
        <v>16</v>
      </c>
      <c r="P96">
        <v>17</v>
      </c>
      <c r="Q96">
        <v>16</v>
      </c>
      <c r="R96">
        <v>17</v>
      </c>
      <c r="S96">
        <v>25.4</v>
      </c>
      <c r="T96">
        <v>2025</v>
      </c>
    </row>
    <row r="97" spans="1:20" x14ac:dyDescent="0.25">
      <c r="A97" t="s">
        <v>19</v>
      </c>
      <c r="B97" t="s">
        <v>205</v>
      </c>
      <c r="C97">
        <v>18.022832893497799</v>
      </c>
      <c r="D97">
        <v>46.3825492858887</v>
      </c>
      <c r="E97">
        <v>83.633939176797867</v>
      </c>
      <c r="F97">
        <v>2.1120515186339617</v>
      </c>
      <c r="H97" s="1">
        <v>45915</v>
      </c>
      <c r="I97" t="s">
        <v>8</v>
      </c>
      <c r="J97">
        <v>105</v>
      </c>
      <c r="K97" s="2">
        <v>7.1</v>
      </c>
      <c r="L97">
        <v>5.8</v>
      </c>
      <c r="M97">
        <v>17</v>
      </c>
      <c r="N97">
        <v>17</v>
      </c>
      <c r="O97">
        <v>16</v>
      </c>
      <c r="P97">
        <v>15</v>
      </c>
      <c r="Q97">
        <v>14</v>
      </c>
      <c r="R97">
        <v>17</v>
      </c>
      <c r="S97">
        <v>25.4</v>
      </c>
      <c r="T97">
        <v>2025</v>
      </c>
    </row>
    <row r="98" spans="1:20" x14ac:dyDescent="0.25">
      <c r="A98" t="s">
        <v>19</v>
      </c>
      <c r="B98" t="s">
        <v>205</v>
      </c>
      <c r="C98">
        <v>18.022832893497799</v>
      </c>
      <c r="D98">
        <v>46.3825492858887</v>
      </c>
      <c r="E98">
        <v>83.633939176797867</v>
      </c>
      <c r="F98">
        <v>2.1120515186339617</v>
      </c>
      <c r="H98" s="1">
        <v>45915</v>
      </c>
      <c r="I98" t="s">
        <v>9</v>
      </c>
      <c r="J98">
        <v>120</v>
      </c>
      <c r="K98" s="2">
        <v>4.8</v>
      </c>
      <c r="L98">
        <v>4.9000000000000004</v>
      </c>
      <c r="M98">
        <v>17</v>
      </c>
      <c r="N98">
        <v>15</v>
      </c>
      <c r="O98">
        <v>16</v>
      </c>
      <c r="P98">
        <v>9</v>
      </c>
      <c r="Q98">
        <v>16</v>
      </c>
      <c r="R98">
        <v>17</v>
      </c>
      <c r="S98">
        <v>25.4</v>
      </c>
      <c r="T98">
        <v>2025</v>
      </c>
    </row>
    <row r="99" spans="1:20" x14ac:dyDescent="0.25">
      <c r="A99" t="s">
        <v>19</v>
      </c>
      <c r="B99" t="s">
        <v>205</v>
      </c>
      <c r="C99">
        <v>18.022832893497799</v>
      </c>
      <c r="D99">
        <v>46.3825492858887</v>
      </c>
      <c r="E99">
        <v>83.633939176797867</v>
      </c>
      <c r="F99">
        <v>2.1120515186339617</v>
      </c>
      <c r="H99" s="1">
        <v>45915</v>
      </c>
      <c r="I99" t="s">
        <v>10</v>
      </c>
      <c r="J99">
        <v>135</v>
      </c>
      <c r="K99" s="2">
        <v>5.5</v>
      </c>
      <c r="L99">
        <v>5.3</v>
      </c>
      <c r="M99">
        <v>17</v>
      </c>
      <c r="N99">
        <v>17</v>
      </c>
      <c r="O99">
        <v>7</v>
      </c>
      <c r="P99">
        <v>13</v>
      </c>
      <c r="Q99">
        <v>16</v>
      </c>
      <c r="R99">
        <v>17</v>
      </c>
      <c r="S99">
        <v>25.4</v>
      </c>
      <c r="T99">
        <v>2025</v>
      </c>
    </row>
    <row r="100" spans="1:20" x14ac:dyDescent="0.25">
      <c r="A100" t="s">
        <v>19</v>
      </c>
      <c r="B100" t="s">
        <v>205</v>
      </c>
      <c r="C100">
        <v>18.022832893497799</v>
      </c>
      <c r="D100">
        <v>46.3825492858887</v>
      </c>
      <c r="E100">
        <v>83.633939176797867</v>
      </c>
      <c r="F100">
        <v>2.1120515186339617</v>
      </c>
      <c r="H100" s="1">
        <v>45915</v>
      </c>
      <c r="I100" t="s">
        <v>11</v>
      </c>
      <c r="J100">
        <v>150</v>
      </c>
      <c r="K100" s="2">
        <v>5.6</v>
      </c>
      <c r="L100">
        <v>5</v>
      </c>
      <c r="M100">
        <v>17</v>
      </c>
      <c r="N100">
        <v>17</v>
      </c>
      <c r="O100">
        <v>17</v>
      </c>
      <c r="P100">
        <v>17</v>
      </c>
      <c r="Q100">
        <v>17</v>
      </c>
      <c r="R100">
        <v>17</v>
      </c>
      <c r="S100">
        <v>25.4</v>
      </c>
      <c r="T100">
        <v>2025</v>
      </c>
    </row>
    <row r="101" spans="1:20" x14ac:dyDescent="0.25">
      <c r="A101" t="s">
        <v>20</v>
      </c>
      <c r="B101" t="s">
        <v>241</v>
      </c>
      <c r="C101">
        <v>18.579458523314401</v>
      </c>
      <c r="D101">
        <v>50.339157104492202</v>
      </c>
      <c r="E101">
        <v>86.241964995860997</v>
      </c>
      <c r="F101">
        <v>0.53090088185854301</v>
      </c>
      <c r="H101" s="1">
        <v>45910</v>
      </c>
      <c r="I101" t="s">
        <v>0</v>
      </c>
      <c r="J101">
        <v>0</v>
      </c>
      <c r="K101" s="2">
        <v>5.6</v>
      </c>
      <c r="L101">
        <v>2.2000000000000002</v>
      </c>
      <c r="M101">
        <v>17</v>
      </c>
      <c r="N101">
        <v>17</v>
      </c>
      <c r="O101">
        <v>17</v>
      </c>
      <c r="P101">
        <v>17</v>
      </c>
      <c r="Q101">
        <v>17</v>
      </c>
      <c r="R101">
        <v>17</v>
      </c>
      <c r="S101">
        <v>18.2</v>
      </c>
      <c r="T101">
        <v>2025</v>
      </c>
    </row>
    <row r="102" spans="1:20" x14ac:dyDescent="0.25">
      <c r="A102" t="s">
        <v>20</v>
      </c>
      <c r="B102" t="s">
        <v>241</v>
      </c>
      <c r="C102">
        <v>18.579458523314401</v>
      </c>
      <c r="D102">
        <v>50.339157104492202</v>
      </c>
      <c r="E102">
        <v>86.241964995860997</v>
      </c>
      <c r="F102">
        <v>0.53090088185854301</v>
      </c>
      <c r="H102" s="1">
        <v>45910</v>
      </c>
      <c r="I102" t="s">
        <v>1</v>
      </c>
      <c r="J102">
        <v>15</v>
      </c>
      <c r="K102" s="2">
        <v>4.7</v>
      </c>
      <c r="L102">
        <v>3.9</v>
      </c>
      <c r="M102">
        <v>17</v>
      </c>
      <c r="N102">
        <v>17</v>
      </c>
      <c r="O102">
        <v>17</v>
      </c>
      <c r="P102">
        <v>17</v>
      </c>
      <c r="Q102">
        <v>17</v>
      </c>
      <c r="R102">
        <v>16</v>
      </c>
      <c r="S102">
        <v>18.2</v>
      </c>
      <c r="T102">
        <v>2025</v>
      </c>
    </row>
    <row r="103" spans="1:20" x14ac:dyDescent="0.25">
      <c r="A103" t="s">
        <v>20</v>
      </c>
      <c r="B103" t="s">
        <v>241</v>
      </c>
      <c r="C103">
        <v>18.579458523314401</v>
      </c>
      <c r="D103">
        <v>50.339157104492202</v>
      </c>
      <c r="E103">
        <v>86.241964995860997</v>
      </c>
      <c r="F103">
        <v>0.53090088185854301</v>
      </c>
      <c r="H103" s="1">
        <v>45910</v>
      </c>
      <c r="I103" t="s">
        <v>3</v>
      </c>
      <c r="J103">
        <v>30</v>
      </c>
      <c r="K103" s="2">
        <v>4.0999999999999996</v>
      </c>
      <c r="L103">
        <v>4</v>
      </c>
      <c r="M103">
        <v>17</v>
      </c>
      <c r="N103">
        <v>17</v>
      </c>
      <c r="O103">
        <v>17</v>
      </c>
      <c r="P103">
        <v>17</v>
      </c>
      <c r="Q103">
        <v>17</v>
      </c>
      <c r="R103">
        <v>17</v>
      </c>
      <c r="S103">
        <v>18.2</v>
      </c>
      <c r="T103">
        <v>2025</v>
      </c>
    </row>
    <row r="104" spans="1:20" x14ac:dyDescent="0.25">
      <c r="A104" t="s">
        <v>20</v>
      </c>
      <c r="B104" t="s">
        <v>241</v>
      </c>
      <c r="C104">
        <v>18.579458523314401</v>
      </c>
      <c r="D104">
        <v>50.339157104492202</v>
      </c>
      <c r="E104">
        <v>86.241964995860997</v>
      </c>
      <c r="F104">
        <v>0.53090088185854301</v>
      </c>
      <c r="H104" s="1">
        <v>45910</v>
      </c>
      <c r="I104" t="s">
        <v>4</v>
      </c>
      <c r="J104">
        <v>45</v>
      </c>
      <c r="K104" s="2">
        <v>7.5</v>
      </c>
      <c r="L104">
        <v>4</v>
      </c>
      <c r="M104">
        <v>17</v>
      </c>
      <c r="N104">
        <v>17</v>
      </c>
      <c r="O104">
        <v>17</v>
      </c>
      <c r="P104">
        <v>17</v>
      </c>
      <c r="Q104">
        <v>17</v>
      </c>
      <c r="R104">
        <v>17</v>
      </c>
      <c r="S104">
        <v>18.2</v>
      </c>
      <c r="T104">
        <v>2025</v>
      </c>
    </row>
    <row r="105" spans="1:20" x14ac:dyDescent="0.25">
      <c r="A105" t="s">
        <v>20</v>
      </c>
      <c r="B105" t="s">
        <v>241</v>
      </c>
      <c r="C105">
        <v>18.579458523314401</v>
      </c>
      <c r="D105">
        <v>50.339157104492202</v>
      </c>
      <c r="E105">
        <v>86.241964995860997</v>
      </c>
      <c r="F105">
        <v>0.53090088185854301</v>
      </c>
      <c r="H105" s="1">
        <v>45910</v>
      </c>
      <c r="I105" t="s">
        <v>5</v>
      </c>
      <c r="J105">
        <v>60</v>
      </c>
      <c r="K105" s="2">
        <v>5.7</v>
      </c>
      <c r="L105">
        <v>5.0999999999999996</v>
      </c>
      <c r="M105">
        <v>17</v>
      </c>
      <c r="N105">
        <v>16</v>
      </c>
      <c r="O105">
        <v>17</v>
      </c>
      <c r="P105">
        <v>17</v>
      </c>
      <c r="Q105">
        <v>16</v>
      </c>
      <c r="R105">
        <v>17</v>
      </c>
      <c r="S105">
        <v>18.2</v>
      </c>
      <c r="T105">
        <v>2025</v>
      </c>
    </row>
    <row r="106" spans="1:20" x14ac:dyDescent="0.25">
      <c r="A106" t="s">
        <v>20</v>
      </c>
      <c r="B106" t="s">
        <v>241</v>
      </c>
      <c r="C106">
        <v>18.579458523314401</v>
      </c>
      <c r="D106">
        <v>50.339157104492202</v>
      </c>
      <c r="E106">
        <v>86.241964995860997</v>
      </c>
      <c r="F106">
        <v>0.53090088185854301</v>
      </c>
      <c r="H106" s="1">
        <v>45910</v>
      </c>
      <c r="I106" t="s">
        <v>6</v>
      </c>
      <c r="J106">
        <v>75</v>
      </c>
      <c r="K106" s="2">
        <v>6.7</v>
      </c>
      <c r="L106">
        <v>5.7</v>
      </c>
      <c r="M106">
        <v>17</v>
      </c>
      <c r="N106">
        <v>16</v>
      </c>
      <c r="O106">
        <v>15</v>
      </c>
      <c r="P106">
        <v>17</v>
      </c>
      <c r="Q106">
        <v>16</v>
      </c>
      <c r="R106">
        <v>17</v>
      </c>
      <c r="S106">
        <v>18.2</v>
      </c>
      <c r="T106">
        <v>2025</v>
      </c>
    </row>
    <row r="107" spans="1:20" x14ac:dyDescent="0.25">
      <c r="A107" t="s">
        <v>20</v>
      </c>
      <c r="B107" t="s">
        <v>241</v>
      </c>
      <c r="C107">
        <v>18.579458523314401</v>
      </c>
      <c r="D107">
        <v>50.339157104492202</v>
      </c>
      <c r="E107">
        <v>86.241964995860997</v>
      </c>
      <c r="F107">
        <v>0.53090088185854301</v>
      </c>
      <c r="H107" s="1">
        <v>45910</v>
      </c>
      <c r="I107" t="s">
        <v>7</v>
      </c>
      <c r="J107">
        <v>90</v>
      </c>
      <c r="K107" s="2">
        <v>6.5</v>
      </c>
      <c r="L107">
        <v>3.8</v>
      </c>
      <c r="M107">
        <v>17</v>
      </c>
      <c r="N107">
        <v>16</v>
      </c>
      <c r="O107">
        <v>16</v>
      </c>
      <c r="P107">
        <v>14</v>
      </c>
      <c r="Q107">
        <v>17</v>
      </c>
      <c r="R107">
        <v>15</v>
      </c>
      <c r="S107">
        <v>18.2</v>
      </c>
      <c r="T107">
        <v>2025</v>
      </c>
    </row>
    <row r="108" spans="1:20" x14ac:dyDescent="0.25">
      <c r="A108" t="s">
        <v>20</v>
      </c>
      <c r="B108" t="s">
        <v>241</v>
      </c>
      <c r="C108">
        <v>18.579458523314401</v>
      </c>
      <c r="D108">
        <v>50.339157104492202</v>
      </c>
      <c r="E108">
        <v>86.241964995860997</v>
      </c>
      <c r="F108">
        <v>0.53090088185854301</v>
      </c>
      <c r="H108" s="1">
        <v>45910</v>
      </c>
      <c r="I108" t="s">
        <v>8</v>
      </c>
      <c r="J108">
        <v>105</v>
      </c>
      <c r="K108" s="2">
        <v>3</v>
      </c>
      <c r="L108">
        <v>2.5</v>
      </c>
      <c r="M108">
        <v>17</v>
      </c>
      <c r="N108">
        <v>17</v>
      </c>
      <c r="O108">
        <v>16</v>
      </c>
      <c r="P108">
        <v>17</v>
      </c>
      <c r="Q108">
        <v>17</v>
      </c>
      <c r="R108">
        <v>17</v>
      </c>
      <c r="S108">
        <v>18.2</v>
      </c>
      <c r="T108">
        <v>2025</v>
      </c>
    </row>
    <row r="109" spans="1:20" x14ac:dyDescent="0.25">
      <c r="A109" t="s">
        <v>20</v>
      </c>
      <c r="B109" t="s">
        <v>241</v>
      </c>
      <c r="C109">
        <v>18.579458523314401</v>
      </c>
      <c r="D109">
        <v>50.339157104492202</v>
      </c>
      <c r="E109">
        <v>86.241964995860997</v>
      </c>
      <c r="F109">
        <v>0.53090088185854301</v>
      </c>
      <c r="H109" s="1">
        <v>45910</v>
      </c>
      <c r="I109" t="s">
        <v>9</v>
      </c>
      <c r="J109">
        <v>120</v>
      </c>
      <c r="K109" s="2">
        <v>4.5</v>
      </c>
      <c r="L109">
        <v>3.6</v>
      </c>
      <c r="M109">
        <v>17</v>
      </c>
      <c r="N109">
        <v>17</v>
      </c>
      <c r="O109">
        <v>17</v>
      </c>
      <c r="P109">
        <v>17</v>
      </c>
      <c r="Q109">
        <v>17</v>
      </c>
      <c r="R109">
        <v>17</v>
      </c>
      <c r="S109">
        <v>18.2</v>
      </c>
      <c r="T109">
        <v>2025</v>
      </c>
    </row>
    <row r="110" spans="1:20" x14ac:dyDescent="0.25">
      <c r="A110" t="s">
        <v>20</v>
      </c>
      <c r="B110" t="s">
        <v>241</v>
      </c>
      <c r="C110">
        <v>18.579458523314401</v>
      </c>
      <c r="D110">
        <v>50.339157104492202</v>
      </c>
      <c r="E110">
        <v>86.241964995860997</v>
      </c>
      <c r="F110">
        <v>0.53090088185854301</v>
      </c>
      <c r="H110" s="1">
        <v>45910</v>
      </c>
      <c r="I110" t="s">
        <v>10</v>
      </c>
      <c r="J110">
        <v>135</v>
      </c>
      <c r="K110" s="2">
        <v>6.9</v>
      </c>
      <c r="L110">
        <v>3</v>
      </c>
      <c r="M110">
        <v>17</v>
      </c>
      <c r="N110">
        <v>15</v>
      </c>
      <c r="O110">
        <v>15</v>
      </c>
      <c r="P110">
        <v>15</v>
      </c>
      <c r="Q110">
        <v>17</v>
      </c>
      <c r="R110">
        <v>17</v>
      </c>
      <c r="S110">
        <v>18.2</v>
      </c>
      <c r="T110">
        <v>2025</v>
      </c>
    </row>
    <row r="111" spans="1:20" x14ac:dyDescent="0.25">
      <c r="A111" t="s">
        <v>20</v>
      </c>
      <c r="B111" t="s">
        <v>241</v>
      </c>
      <c r="C111">
        <v>18.579458523314401</v>
      </c>
      <c r="D111">
        <v>50.339157104492202</v>
      </c>
      <c r="E111">
        <v>86.241964995860997</v>
      </c>
      <c r="F111">
        <v>0.53090088185854301</v>
      </c>
      <c r="H111" s="1">
        <v>45910</v>
      </c>
      <c r="I111" t="s">
        <v>11</v>
      </c>
      <c r="J111">
        <v>150</v>
      </c>
      <c r="K111" s="2">
        <v>5</v>
      </c>
      <c r="L111">
        <v>4.4000000000000004</v>
      </c>
      <c r="M111">
        <v>17</v>
      </c>
      <c r="N111">
        <v>16</v>
      </c>
      <c r="O111">
        <v>17</v>
      </c>
      <c r="P111">
        <v>13</v>
      </c>
      <c r="Q111">
        <v>17</v>
      </c>
      <c r="R111">
        <v>17</v>
      </c>
      <c r="S111">
        <v>18.2</v>
      </c>
      <c r="T111">
        <v>2025</v>
      </c>
    </row>
    <row r="112" spans="1:20" x14ac:dyDescent="0.25">
      <c r="A112" t="s">
        <v>21</v>
      </c>
      <c r="B112" t="s">
        <v>266</v>
      </c>
      <c r="C112">
        <v>27.4073630973656</v>
      </c>
      <c r="D112">
        <v>49.6357612609863</v>
      </c>
      <c r="E112">
        <v>91.226733475923567</v>
      </c>
      <c r="F112">
        <v>0.82094725221395504</v>
      </c>
      <c r="H112" s="1">
        <v>45925</v>
      </c>
      <c r="I112" t="s">
        <v>0</v>
      </c>
      <c r="J112">
        <v>0</v>
      </c>
      <c r="K112" s="2">
        <v>2.2000000000000002</v>
      </c>
      <c r="L112">
        <v>2.1</v>
      </c>
      <c r="M112">
        <v>17</v>
      </c>
      <c r="N112">
        <v>17</v>
      </c>
      <c r="O112">
        <v>11</v>
      </c>
      <c r="P112">
        <v>10</v>
      </c>
      <c r="Q112">
        <v>13</v>
      </c>
      <c r="R112">
        <v>17</v>
      </c>
      <c r="S112">
        <v>10.9</v>
      </c>
      <c r="T112">
        <v>2025</v>
      </c>
    </row>
    <row r="113" spans="1:20" x14ac:dyDescent="0.25">
      <c r="A113" t="s">
        <v>21</v>
      </c>
      <c r="B113" t="s">
        <v>266</v>
      </c>
      <c r="C113">
        <v>27.4073630973656</v>
      </c>
      <c r="D113">
        <v>49.6357612609863</v>
      </c>
      <c r="E113">
        <v>91.226733475923567</v>
      </c>
      <c r="F113">
        <v>0.82094725221395504</v>
      </c>
      <c r="H113" s="1">
        <v>45925</v>
      </c>
      <c r="I113" t="s">
        <v>1</v>
      </c>
      <c r="J113">
        <v>10</v>
      </c>
      <c r="K113" s="2">
        <v>3.8</v>
      </c>
      <c r="L113">
        <v>4</v>
      </c>
      <c r="M113">
        <v>17</v>
      </c>
      <c r="N113">
        <v>7</v>
      </c>
      <c r="O113">
        <v>10</v>
      </c>
      <c r="P113">
        <v>2</v>
      </c>
      <c r="Q113">
        <v>17</v>
      </c>
      <c r="R113">
        <v>17</v>
      </c>
      <c r="S113">
        <v>10.9</v>
      </c>
      <c r="T113">
        <v>2025</v>
      </c>
    </row>
    <row r="114" spans="1:20" x14ac:dyDescent="0.25">
      <c r="A114" t="s">
        <v>21</v>
      </c>
      <c r="B114" t="s">
        <v>266</v>
      </c>
      <c r="C114">
        <v>27.4073630973656</v>
      </c>
      <c r="D114">
        <v>49.6357612609863</v>
      </c>
      <c r="E114">
        <v>91.226733475923567</v>
      </c>
      <c r="F114">
        <v>0.82094725221395504</v>
      </c>
      <c r="H114" s="1">
        <v>45925</v>
      </c>
      <c r="I114" t="s">
        <v>3</v>
      </c>
      <c r="J114">
        <v>20</v>
      </c>
      <c r="K114" s="2">
        <v>3.1</v>
      </c>
      <c r="L114">
        <v>2.9</v>
      </c>
      <c r="M114">
        <v>17</v>
      </c>
      <c r="N114">
        <v>16</v>
      </c>
      <c r="O114">
        <v>14</v>
      </c>
      <c r="P114">
        <v>12</v>
      </c>
      <c r="Q114">
        <v>17</v>
      </c>
      <c r="R114">
        <v>15</v>
      </c>
      <c r="S114">
        <v>10.9</v>
      </c>
      <c r="T114">
        <v>2025</v>
      </c>
    </row>
    <row r="115" spans="1:20" x14ac:dyDescent="0.25">
      <c r="A115" t="s">
        <v>21</v>
      </c>
      <c r="B115" t="s">
        <v>266</v>
      </c>
      <c r="C115">
        <v>27.4073630973656</v>
      </c>
      <c r="D115">
        <v>49.6357612609863</v>
      </c>
      <c r="E115">
        <v>91.226733475923567</v>
      </c>
      <c r="F115">
        <v>0.82094725221395504</v>
      </c>
      <c r="H115" s="1">
        <v>45925</v>
      </c>
      <c r="I115" t="s">
        <v>4</v>
      </c>
      <c r="J115">
        <v>30</v>
      </c>
      <c r="K115" s="2">
        <v>4.9000000000000004</v>
      </c>
      <c r="L115">
        <v>4.9000000000000004</v>
      </c>
      <c r="M115">
        <v>17</v>
      </c>
      <c r="N115">
        <v>17</v>
      </c>
      <c r="O115">
        <v>14</v>
      </c>
      <c r="P115">
        <v>17</v>
      </c>
      <c r="Q115">
        <v>17</v>
      </c>
      <c r="R115">
        <v>17</v>
      </c>
      <c r="S115">
        <v>10.9</v>
      </c>
      <c r="T115">
        <v>2025</v>
      </c>
    </row>
    <row r="116" spans="1:20" x14ac:dyDescent="0.25">
      <c r="A116" t="s">
        <v>21</v>
      </c>
      <c r="B116" t="s">
        <v>266</v>
      </c>
      <c r="C116">
        <v>27.4073630973656</v>
      </c>
      <c r="D116">
        <v>49.6357612609863</v>
      </c>
      <c r="E116">
        <v>91.226733475923567</v>
      </c>
      <c r="F116">
        <v>0.82094725221395504</v>
      </c>
      <c r="H116" s="1">
        <v>45925</v>
      </c>
      <c r="I116" t="s">
        <v>5</v>
      </c>
      <c r="J116">
        <v>40</v>
      </c>
      <c r="K116" s="2">
        <v>5.4</v>
      </c>
      <c r="L116">
        <v>5.2</v>
      </c>
      <c r="M116">
        <v>17</v>
      </c>
      <c r="N116" s="3">
        <v>17</v>
      </c>
      <c r="O116" s="3">
        <v>17</v>
      </c>
      <c r="P116">
        <v>17</v>
      </c>
      <c r="Q116" s="3">
        <v>17</v>
      </c>
      <c r="R116" s="3">
        <v>17</v>
      </c>
      <c r="S116">
        <v>10.9</v>
      </c>
      <c r="T116">
        <v>2025</v>
      </c>
    </row>
    <row r="117" spans="1:20" x14ac:dyDescent="0.25">
      <c r="A117" t="s">
        <v>21</v>
      </c>
      <c r="B117" t="s">
        <v>266</v>
      </c>
      <c r="C117">
        <v>27.4073630973656</v>
      </c>
      <c r="D117">
        <v>49.6357612609863</v>
      </c>
      <c r="E117">
        <v>91.226733475923567</v>
      </c>
      <c r="F117">
        <v>0.82094725221395504</v>
      </c>
      <c r="H117" s="1">
        <v>45925</v>
      </c>
      <c r="I117" t="s">
        <v>6</v>
      </c>
      <c r="J117">
        <v>50</v>
      </c>
      <c r="K117" s="2">
        <v>7.2</v>
      </c>
      <c r="L117">
        <v>6.8</v>
      </c>
      <c r="M117">
        <v>16</v>
      </c>
      <c r="N117">
        <v>13</v>
      </c>
      <c r="O117" s="3">
        <v>17</v>
      </c>
      <c r="P117" s="3">
        <v>17</v>
      </c>
      <c r="Q117">
        <v>13</v>
      </c>
      <c r="R117">
        <v>17</v>
      </c>
      <c r="S117">
        <v>10.9</v>
      </c>
      <c r="T117">
        <v>2025</v>
      </c>
    </row>
    <row r="118" spans="1:20" x14ac:dyDescent="0.25">
      <c r="A118" t="s">
        <v>21</v>
      </c>
      <c r="B118" t="s">
        <v>266</v>
      </c>
      <c r="C118">
        <v>27.4073630973656</v>
      </c>
      <c r="D118">
        <v>49.6357612609863</v>
      </c>
      <c r="E118">
        <v>91.226733475923567</v>
      </c>
      <c r="F118">
        <v>0.82094725221395504</v>
      </c>
      <c r="H118" s="1">
        <v>45925</v>
      </c>
      <c r="I118" t="s">
        <v>7</v>
      </c>
      <c r="J118">
        <v>60</v>
      </c>
      <c r="K118" s="2">
        <v>5.2</v>
      </c>
      <c r="L118">
        <v>4.8</v>
      </c>
      <c r="M118" s="3">
        <v>17</v>
      </c>
      <c r="N118" s="3">
        <v>16</v>
      </c>
      <c r="O118">
        <v>14</v>
      </c>
      <c r="P118">
        <v>16</v>
      </c>
      <c r="Q118">
        <v>17</v>
      </c>
      <c r="R118">
        <v>17</v>
      </c>
      <c r="S118">
        <v>10.9</v>
      </c>
      <c r="T118">
        <v>2025</v>
      </c>
    </row>
    <row r="119" spans="1:20" x14ac:dyDescent="0.25">
      <c r="A119" t="s">
        <v>21</v>
      </c>
      <c r="B119" t="s">
        <v>266</v>
      </c>
      <c r="C119">
        <v>27.4073630973656</v>
      </c>
      <c r="D119">
        <v>49.6357612609863</v>
      </c>
      <c r="E119">
        <v>91.226733475923567</v>
      </c>
      <c r="F119">
        <v>0.82094725221395504</v>
      </c>
      <c r="H119" s="1">
        <v>45925</v>
      </c>
      <c r="I119" t="s">
        <v>8</v>
      </c>
      <c r="J119">
        <v>70</v>
      </c>
      <c r="K119" s="2">
        <v>6</v>
      </c>
      <c r="L119">
        <v>5.7</v>
      </c>
      <c r="M119">
        <v>17</v>
      </c>
      <c r="N119">
        <v>16</v>
      </c>
      <c r="O119">
        <v>12</v>
      </c>
      <c r="P119">
        <v>17</v>
      </c>
      <c r="Q119">
        <v>16</v>
      </c>
      <c r="R119">
        <v>17</v>
      </c>
      <c r="S119">
        <v>10.9</v>
      </c>
      <c r="T119">
        <v>2025</v>
      </c>
    </row>
    <row r="120" spans="1:20" x14ac:dyDescent="0.25">
      <c r="A120" t="s">
        <v>21</v>
      </c>
      <c r="B120" t="s">
        <v>266</v>
      </c>
      <c r="C120">
        <v>27.4073630973656</v>
      </c>
      <c r="D120">
        <v>49.6357612609863</v>
      </c>
      <c r="E120">
        <v>91.226733475923567</v>
      </c>
      <c r="F120">
        <v>0.82094725221395504</v>
      </c>
      <c r="H120" s="1">
        <v>45925</v>
      </c>
      <c r="I120" t="s">
        <v>9</v>
      </c>
      <c r="J120">
        <v>80</v>
      </c>
      <c r="K120" s="2">
        <v>7.5</v>
      </c>
      <c r="L120">
        <v>5.6</v>
      </c>
      <c r="M120">
        <v>17</v>
      </c>
      <c r="N120">
        <v>17</v>
      </c>
      <c r="O120">
        <v>15</v>
      </c>
      <c r="P120">
        <v>17</v>
      </c>
      <c r="Q120">
        <v>17</v>
      </c>
      <c r="R120">
        <v>17</v>
      </c>
      <c r="S120">
        <v>10.9</v>
      </c>
      <c r="T120">
        <v>2025</v>
      </c>
    </row>
    <row r="121" spans="1:20" x14ac:dyDescent="0.25">
      <c r="A121" t="s">
        <v>21</v>
      </c>
      <c r="B121" t="s">
        <v>266</v>
      </c>
      <c r="C121">
        <v>27.4073630973656</v>
      </c>
      <c r="D121">
        <v>49.6357612609863</v>
      </c>
      <c r="E121">
        <v>91.226733475923567</v>
      </c>
      <c r="F121">
        <v>0.82094725221395504</v>
      </c>
      <c r="H121" s="1">
        <v>45925</v>
      </c>
      <c r="I121" t="s">
        <v>10</v>
      </c>
      <c r="J121">
        <v>90</v>
      </c>
      <c r="K121" s="2">
        <v>5.2</v>
      </c>
      <c r="L121">
        <v>4.5999999999999996</v>
      </c>
      <c r="M121">
        <v>17</v>
      </c>
      <c r="N121" s="3">
        <v>17</v>
      </c>
      <c r="O121" s="3">
        <v>17</v>
      </c>
      <c r="P121">
        <v>17</v>
      </c>
      <c r="Q121" s="3">
        <v>17</v>
      </c>
      <c r="R121" s="3">
        <v>17</v>
      </c>
      <c r="S121">
        <v>10.9</v>
      </c>
      <c r="T121">
        <v>2025</v>
      </c>
    </row>
    <row r="122" spans="1:20" x14ac:dyDescent="0.25">
      <c r="A122" t="s">
        <v>21</v>
      </c>
      <c r="B122" t="s">
        <v>266</v>
      </c>
      <c r="C122">
        <v>27.4073630973656</v>
      </c>
      <c r="D122">
        <v>49.6357612609863</v>
      </c>
      <c r="E122">
        <v>91.226733475923567</v>
      </c>
      <c r="F122">
        <v>0.82094725221395504</v>
      </c>
      <c r="H122" s="1">
        <v>45925</v>
      </c>
      <c r="I122" t="s">
        <v>11</v>
      </c>
      <c r="J122">
        <v>100</v>
      </c>
      <c r="K122" s="2">
        <v>4.0999999999999996</v>
      </c>
      <c r="L122">
        <v>4.0999999999999996</v>
      </c>
      <c r="M122">
        <v>17</v>
      </c>
      <c r="N122">
        <v>10</v>
      </c>
      <c r="O122">
        <v>13</v>
      </c>
      <c r="P122">
        <v>13</v>
      </c>
      <c r="Q122">
        <v>14</v>
      </c>
      <c r="R122">
        <v>17</v>
      </c>
      <c r="S122">
        <v>10.9</v>
      </c>
      <c r="T122">
        <v>2025</v>
      </c>
    </row>
    <row r="123" spans="1:20" x14ac:dyDescent="0.25">
      <c r="A123" t="s">
        <v>22</v>
      </c>
      <c r="B123" t="s">
        <v>123</v>
      </c>
      <c r="C123">
        <v>50.5372401513117</v>
      </c>
      <c r="D123">
        <v>0.93530923128128096</v>
      </c>
      <c r="E123">
        <v>1.3856037139703423</v>
      </c>
      <c r="F123">
        <v>81.943533197045397</v>
      </c>
      <c r="H123" s="1">
        <v>45929</v>
      </c>
      <c r="I123" t="s">
        <v>0</v>
      </c>
      <c r="J123">
        <v>0</v>
      </c>
      <c r="K123" s="2">
        <v>10.4</v>
      </c>
      <c r="L123">
        <v>7</v>
      </c>
      <c r="M123">
        <v>15</v>
      </c>
      <c r="N123">
        <v>13</v>
      </c>
      <c r="O123">
        <v>16</v>
      </c>
      <c r="P123">
        <v>15</v>
      </c>
      <c r="Q123">
        <v>11</v>
      </c>
      <c r="R123">
        <v>17</v>
      </c>
      <c r="S123">
        <v>45.4</v>
      </c>
      <c r="T123">
        <v>2025</v>
      </c>
    </row>
    <row r="124" spans="1:20" x14ac:dyDescent="0.25">
      <c r="A124" t="s">
        <v>22</v>
      </c>
      <c r="B124" t="s">
        <v>123</v>
      </c>
      <c r="C124">
        <v>50.5372401513117</v>
      </c>
      <c r="D124">
        <v>0.93530923128128096</v>
      </c>
      <c r="E124">
        <v>1.3856037139703423</v>
      </c>
      <c r="F124">
        <v>81.943533197045397</v>
      </c>
      <c r="H124" s="1">
        <v>45929</v>
      </c>
      <c r="I124" t="s">
        <v>1</v>
      </c>
      <c r="J124">
        <v>15</v>
      </c>
      <c r="K124" s="2">
        <v>18.7</v>
      </c>
      <c r="L124">
        <v>17.2</v>
      </c>
      <c r="M124">
        <v>17</v>
      </c>
      <c r="N124">
        <v>15</v>
      </c>
      <c r="O124">
        <v>10</v>
      </c>
      <c r="P124">
        <v>17</v>
      </c>
      <c r="Q124">
        <v>16</v>
      </c>
      <c r="R124">
        <v>17</v>
      </c>
      <c r="S124">
        <v>45.4</v>
      </c>
      <c r="T124">
        <v>2025</v>
      </c>
    </row>
    <row r="125" spans="1:20" x14ac:dyDescent="0.25">
      <c r="A125" t="s">
        <v>22</v>
      </c>
      <c r="B125" t="s">
        <v>123</v>
      </c>
      <c r="C125">
        <v>50.5372401513117</v>
      </c>
      <c r="D125">
        <v>0.93530923128128096</v>
      </c>
      <c r="E125">
        <v>1.3856037139703423</v>
      </c>
      <c r="F125">
        <v>81.943533197045397</v>
      </c>
      <c r="H125" s="1">
        <v>45929</v>
      </c>
      <c r="I125" t="s">
        <v>3</v>
      </c>
      <c r="J125">
        <v>30</v>
      </c>
      <c r="K125" s="2">
        <v>16.100000000000001</v>
      </c>
      <c r="L125">
        <v>12.4</v>
      </c>
      <c r="M125">
        <v>17</v>
      </c>
      <c r="N125">
        <v>11</v>
      </c>
      <c r="O125">
        <v>15</v>
      </c>
      <c r="P125">
        <v>17</v>
      </c>
      <c r="Q125">
        <v>15</v>
      </c>
      <c r="R125">
        <v>17</v>
      </c>
      <c r="S125">
        <v>45.4</v>
      </c>
      <c r="T125">
        <v>2025</v>
      </c>
    </row>
    <row r="126" spans="1:20" x14ac:dyDescent="0.25">
      <c r="A126" t="s">
        <v>22</v>
      </c>
      <c r="B126" t="s">
        <v>123</v>
      </c>
      <c r="C126">
        <v>50.5372401513117</v>
      </c>
      <c r="D126">
        <v>0.93530923128128096</v>
      </c>
      <c r="E126">
        <v>1.3856037139703423</v>
      </c>
      <c r="F126">
        <v>81.943533197045397</v>
      </c>
      <c r="H126" s="1">
        <v>45929</v>
      </c>
      <c r="I126" t="s">
        <v>4</v>
      </c>
      <c r="J126">
        <v>45</v>
      </c>
      <c r="K126" s="2">
        <v>10.6</v>
      </c>
      <c r="L126">
        <v>9.4</v>
      </c>
      <c r="M126">
        <v>17</v>
      </c>
      <c r="N126">
        <v>10</v>
      </c>
      <c r="O126">
        <v>13</v>
      </c>
      <c r="P126">
        <v>17</v>
      </c>
      <c r="Q126">
        <v>7</v>
      </c>
      <c r="R126">
        <v>17</v>
      </c>
      <c r="S126">
        <v>45.4</v>
      </c>
      <c r="T126">
        <v>2025</v>
      </c>
    </row>
    <row r="127" spans="1:20" x14ac:dyDescent="0.25">
      <c r="A127" t="s">
        <v>22</v>
      </c>
      <c r="B127" t="s">
        <v>123</v>
      </c>
      <c r="C127">
        <v>50.5372401513117</v>
      </c>
      <c r="D127">
        <v>0.93530923128128096</v>
      </c>
      <c r="E127">
        <v>1.3856037139703423</v>
      </c>
      <c r="F127">
        <v>81.943533197045397</v>
      </c>
      <c r="H127" s="1">
        <v>45929</v>
      </c>
      <c r="I127" t="s">
        <v>5</v>
      </c>
      <c r="J127">
        <v>60</v>
      </c>
      <c r="K127" s="2">
        <v>8</v>
      </c>
      <c r="L127">
        <v>7.6</v>
      </c>
      <c r="M127">
        <v>11</v>
      </c>
      <c r="N127">
        <v>17</v>
      </c>
      <c r="O127">
        <v>17</v>
      </c>
      <c r="P127">
        <v>17</v>
      </c>
      <c r="Q127">
        <v>16</v>
      </c>
      <c r="R127">
        <v>17</v>
      </c>
      <c r="S127">
        <v>45.4</v>
      </c>
      <c r="T127">
        <v>2025</v>
      </c>
    </row>
    <row r="128" spans="1:20" x14ac:dyDescent="0.25">
      <c r="A128" t="s">
        <v>22</v>
      </c>
      <c r="B128" t="s">
        <v>123</v>
      </c>
      <c r="C128">
        <v>50.5372401513117</v>
      </c>
      <c r="D128">
        <v>0.93530923128128096</v>
      </c>
      <c r="E128">
        <v>1.3856037139703423</v>
      </c>
      <c r="F128">
        <v>81.943533197045397</v>
      </c>
      <c r="H128" s="1">
        <v>45929</v>
      </c>
      <c r="I128" t="s">
        <v>6</v>
      </c>
      <c r="J128">
        <v>75</v>
      </c>
      <c r="K128" s="2">
        <v>13.2</v>
      </c>
      <c r="L128">
        <v>12</v>
      </c>
      <c r="M128">
        <v>17</v>
      </c>
      <c r="N128">
        <v>11</v>
      </c>
      <c r="O128">
        <v>11</v>
      </c>
      <c r="P128">
        <v>14</v>
      </c>
      <c r="Q128">
        <v>9</v>
      </c>
      <c r="R128">
        <v>17</v>
      </c>
      <c r="S128">
        <v>45.4</v>
      </c>
      <c r="T128">
        <v>2025</v>
      </c>
    </row>
    <row r="129" spans="1:20" x14ac:dyDescent="0.25">
      <c r="A129" t="s">
        <v>22</v>
      </c>
      <c r="B129" t="s">
        <v>123</v>
      </c>
      <c r="C129">
        <v>50.5372401513117</v>
      </c>
      <c r="D129">
        <v>0.93530923128128096</v>
      </c>
      <c r="E129">
        <v>1.3856037139703423</v>
      </c>
      <c r="F129">
        <v>81.943533197045397</v>
      </c>
      <c r="H129" s="1">
        <v>45929</v>
      </c>
      <c r="I129" t="s">
        <v>7</v>
      </c>
      <c r="J129">
        <v>90</v>
      </c>
      <c r="K129" s="2">
        <v>9.3000000000000007</v>
      </c>
      <c r="L129">
        <v>8.8000000000000007</v>
      </c>
      <c r="M129">
        <v>14</v>
      </c>
      <c r="N129">
        <v>11</v>
      </c>
      <c r="O129">
        <v>13</v>
      </c>
      <c r="P129">
        <v>12</v>
      </c>
      <c r="Q129">
        <v>12</v>
      </c>
      <c r="R129">
        <v>17</v>
      </c>
      <c r="S129">
        <v>45.4</v>
      </c>
      <c r="T129">
        <v>2025</v>
      </c>
    </row>
    <row r="130" spans="1:20" x14ac:dyDescent="0.25">
      <c r="A130" t="s">
        <v>22</v>
      </c>
      <c r="B130" t="s">
        <v>123</v>
      </c>
      <c r="C130">
        <v>50.5372401513117</v>
      </c>
      <c r="D130">
        <v>0.93530923128128096</v>
      </c>
      <c r="E130">
        <v>1.3856037139703423</v>
      </c>
      <c r="F130">
        <v>81.943533197045397</v>
      </c>
      <c r="H130" s="1">
        <v>45929</v>
      </c>
      <c r="I130" t="s">
        <v>8</v>
      </c>
      <c r="J130">
        <v>105</v>
      </c>
      <c r="K130" s="2">
        <v>7</v>
      </c>
      <c r="L130">
        <v>5.0999999999999996</v>
      </c>
      <c r="M130">
        <v>17</v>
      </c>
      <c r="N130">
        <v>16</v>
      </c>
      <c r="O130">
        <v>12</v>
      </c>
      <c r="P130">
        <v>17</v>
      </c>
      <c r="Q130">
        <v>15</v>
      </c>
      <c r="R130">
        <v>17</v>
      </c>
      <c r="S130">
        <v>45.4</v>
      </c>
      <c r="T130">
        <v>2025</v>
      </c>
    </row>
    <row r="131" spans="1:20" x14ac:dyDescent="0.25">
      <c r="A131" t="s">
        <v>22</v>
      </c>
      <c r="B131" t="s">
        <v>123</v>
      </c>
      <c r="C131">
        <v>50.5372401513117</v>
      </c>
      <c r="D131">
        <v>0.93530923128128096</v>
      </c>
      <c r="E131">
        <v>1.3856037139703423</v>
      </c>
      <c r="F131">
        <v>81.943533197045397</v>
      </c>
      <c r="H131" s="1">
        <v>45929</v>
      </c>
      <c r="I131" t="s">
        <v>9</v>
      </c>
      <c r="J131">
        <v>120</v>
      </c>
      <c r="K131" s="2">
        <v>7.2</v>
      </c>
      <c r="L131">
        <v>5.7</v>
      </c>
      <c r="M131">
        <v>17</v>
      </c>
      <c r="N131">
        <v>15</v>
      </c>
      <c r="O131">
        <v>17</v>
      </c>
      <c r="P131">
        <v>16</v>
      </c>
      <c r="Q131">
        <v>16</v>
      </c>
      <c r="R131">
        <v>17</v>
      </c>
      <c r="S131">
        <v>45.4</v>
      </c>
      <c r="T131">
        <v>2025</v>
      </c>
    </row>
    <row r="132" spans="1:20" x14ac:dyDescent="0.25">
      <c r="A132" t="s">
        <v>22</v>
      </c>
      <c r="B132" t="s">
        <v>123</v>
      </c>
      <c r="C132">
        <v>50.5372401513117</v>
      </c>
      <c r="D132">
        <v>0.93530923128128096</v>
      </c>
      <c r="E132">
        <v>1.3856037139703423</v>
      </c>
      <c r="F132">
        <v>81.943533197045397</v>
      </c>
      <c r="H132" s="1">
        <v>45929</v>
      </c>
      <c r="I132" t="s">
        <v>10</v>
      </c>
      <c r="J132">
        <v>135</v>
      </c>
      <c r="K132" s="2">
        <v>8.4</v>
      </c>
      <c r="L132">
        <v>6.7</v>
      </c>
      <c r="M132">
        <v>17</v>
      </c>
      <c r="N132">
        <v>12</v>
      </c>
      <c r="O132">
        <v>15</v>
      </c>
      <c r="P132">
        <v>17</v>
      </c>
      <c r="Q132">
        <v>12</v>
      </c>
      <c r="R132">
        <v>17</v>
      </c>
      <c r="S132">
        <v>45.4</v>
      </c>
      <c r="T132">
        <v>2025</v>
      </c>
    </row>
    <row r="133" spans="1:20" x14ac:dyDescent="0.25">
      <c r="A133" t="s">
        <v>22</v>
      </c>
      <c r="B133" t="s">
        <v>123</v>
      </c>
      <c r="C133">
        <v>50.5372401513117</v>
      </c>
      <c r="D133">
        <v>0.93530923128128096</v>
      </c>
      <c r="E133">
        <v>1.3856037139703423</v>
      </c>
      <c r="F133">
        <v>81.943533197045397</v>
      </c>
      <c r="H133" s="1">
        <v>45929</v>
      </c>
      <c r="I133" t="s">
        <v>11</v>
      </c>
      <c r="J133">
        <v>150</v>
      </c>
      <c r="K133" s="2">
        <v>9.1999999999999993</v>
      </c>
      <c r="L133">
        <v>9.1</v>
      </c>
      <c r="M133">
        <v>17</v>
      </c>
      <c r="N133">
        <v>14</v>
      </c>
      <c r="O133">
        <v>16</v>
      </c>
      <c r="P133">
        <v>16</v>
      </c>
      <c r="Q133">
        <v>9</v>
      </c>
      <c r="R133">
        <v>17</v>
      </c>
      <c r="S133">
        <v>45.4</v>
      </c>
      <c r="T133">
        <v>2025</v>
      </c>
    </row>
    <row r="134" spans="1:20" x14ac:dyDescent="0.25">
      <c r="A134" t="s">
        <v>23</v>
      </c>
      <c r="B134" t="s">
        <v>306</v>
      </c>
      <c r="C134">
        <v>14.617636430961999</v>
      </c>
      <c r="D134">
        <v>19.957798004150401</v>
      </c>
      <c r="E134">
        <v>39.269282948225722</v>
      </c>
      <c r="F134">
        <v>41.152207180857658</v>
      </c>
      <c r="H134" s="1">
        <v>45930</v>
      </c>
      <c r="I134" t="s">
        <v>0</v>
      </c>
      <c r="J134">
        <v>0</v>
      </c>
      <c r="K134" s="2">
        <v>6</v>
      </c>
      <c r="L134">
        <v>5.5</v>
      </c>
      <c r="M134">
        <v>14</v>
      </c>
      <c r="N134">
        <v>15</v>
      </c>
      <c r="O134">
        <v>16</v>
      </c>
      <c r="P134">
        <v>12</v>
      </c>
      <c r="Q134">
        <v>13</v>
      </c>
      <c r="R134">
        <v>17</v>
      </c>
      <c r="S134">
        <v>12.6</v>
      </c>
      <c r="T134">
        <v>2025</v>
      </c>
    </row>
    <row r="135" spans="1:20" x14ac:dyDescent="0.25">
      <c r="A135" t="s">
        <v>23</v>
      </c>
      <c r="B135" t="s">
        <v>306</v>
      </c>
      <c r="C135">
        <v>14.617636430961999</v>
      </c>
      <c r="D135">
        <v>19.957798004150401</v>
      </c>
      <c r="E135">
        <v>39.269282948225722</v>
      </c>
      <c r="F135">
        <v>41.152207180857658</v>
      </c>
      <c r="H135" s="1">
        <v>45930</v>
      </c>
      <c r="I135" t="s">
        <v>1</v>
      </c>
      <c r="J135">
        <v>15</v>
      </c>
      <c r="K135" s="2">
        <v>4.3</v>
      </c>
      <c r="L135">
        <v>2.9</v>
      </c>
      <c r="M135">
        <v>17</v>
      </c>
      <c r="N135">
        <v>17</v>
      </c>
      <c r="O135">
        <v>9</v>
      </c>
      <c r="P135">
        <v>16</v>
      </c>
      <c r="Q135">
        <v>17</v>
      </c>
      <c r="R135">
        <v>17</v>
      </c>
      <c r="S135">
        <v>12.6</v>
      </c>
      <c r="T135">
        <v>2025</v>
      </c>
    </row>
    <row r="136" spans="1:20" x14ac:dyDescent="0.25">
      <c r="A136" t="s">
        <v>23</v>
      </c>
      <c r="B136" t="s">
        <v>306</v>
      </c>
      <c r="C136">
        <v>14.617636430961999</v>
      </c>
      <c r="D136">
        <v>19.957798004150401</v>
      </c>
      <c r="E136">
        <v>39.269282948225722</v>
      </c>
      <c r="F136">
        <v>41.152207180857658</v>
      </c>
      <c r="H136" s="1">
        <v>45930</v>
      </c>
      <c r="I136" t="s">
        <v>3</v>
      </c>
      <c r="J136">
        <v>30</v>
      </c>
      <c r="K136" s="2">
        <v>5.4</v>
      </c>
      <c r="L136">
        <v>5.7</v>
      </c>
      <c r="M136">
        <v>17</v>
      </c>
      <c r="N136">
        <v>10</v>
      </c>
      <c r="O136">
        <v>16</v>
      </c>
      <c r="P136">
        <v>15</v>
      </c>
      <c r="Q136">
        <v>16</v>
      </c>
      <c r="R136">
        <v>16</v>
      </c>
      <c r="S136">
        <v>12.6</v>
      </c>
      <c r="T136">
        <v>2025</v>
      </c>
    </row>
    <row r="137" spans="1:20" x14ac:dyDescent="0.25">
      <c r="A137" t="s">
        <v>23</v>
      </c>
      <c r="B137" t="s">
        <v>306</v>
      </c>
      <c r="C137">
        <v>14.617636430961999</v>
      </c>
      <c r="D137">
        <v>19.957798004150401</v>
      </c>
      <c r="E137">
        <v>39.269282948225722</v>
      </c>
      <c r="F137">
        <v>41.152207180857658</v>
      </c>
      <c r="H137" s="1">
        <v>45930</v>
      </c>
      <c r="I137" t="s">
        <v>4</v>
      </c>
      <c r="J137">
        <v>45</v>
      </c>
      <c r="K137" s="2">
        <v>7.9</v>
      </c>
      <c r="L137">
        <v>7.4</v>
      </c>
      <c r="M137">
        <v>15</v>
      </c>
      <c r="N137">
        <v>5</v>
      </c>
      <c r="O137">
        <v>14</v>
      </c>
      <c r="P137">
        <v>3</v>
      </c>
      <c r="Q137">
        <v>15</v>
      </c>
      <c r="R137">
        <v>17</v>
      </c>
      <c r="S137">
        <v>12.6</v>
      </c>
      <c r="T137">
        <v>2025</v>
      </c>
    </row>
    <row r="138" spans="1:20" x14ac:dyDescent="0.25">
      <c r="A138" t="s">
        <v>23</v>
      </c>
      <c r="B138" t="s">
        <v>306</v>
      </c>
      <c r="C138">
        <v>14.617636430961999</v>
      </c>
      <c r="D138">
        <v>19.957798004150401</v>
      </c>
      <c r="E138">
        <v>39.269282948225722</v>
      </c>
      <c r="F138">
        <v>41.152207180857658</v>
      </c>
      <c r="H138" s="1">
        <v>45930</v>
      </c>
      <c r="I138" t="s">
        <v>5</v>
      </c>
      <c r="J138">
        <v>60</v>
      </c>
      <c r="K138" s="2">
        <v>5.7</v>
      </c>
      <c r="L138">
        <v>5.4</v>
      </c>
      <c r="M138">
        <v>17</v>
      </c>
      <c r="N138">
        <v>15</v>
      </c>
      <c r="O138">
        <v>9</v>
      </c>
      <c r="P138">
        <v>16</v>
      </c>
      <c r="Q138">
        <v>8</v>
      </c>
      <c r="R138">
        <v>17</v>
      </c>
      <c r="S138">
        <v>12.6</v>
      </c>
      <c r="T138">
        <v>2025</v>
      </c>
    </row>
    <row r="139" spans="1:20" x14ac:dyDescent="0.25">
      <c r="A139" t="s">
        <v>23</v>
      </c>
      <c r="B139" t="s">
        <v>306</v>
      </c>
      <c r="C139">
        <v>14.617636430961999</v>
      </c>
      <c r="D139">
        <v>19.957798004150401</v>
      </c>
      <c r="E139">
        <v>39.269282948225722</v>
      </c>
      <c r="F139">
        <v>41.152207180857658</v>
      </c>
      <c r="H139" s="1">
        <v>45930</v>
      </c>
      <c r="I139" t="s">
        <v>6</v>
      </c>
      <c r="J139">
        <v>75</v>
      </c>
      <c r="K139" s="2">
        <v>4.5</v>
      </c>
      <c r="L139">
        <v>3.9</v>
      </c>
      <c r="M139">
        <v>5</v>
      </c>
      <c r="N139">
        <v>10</v>
      </c>
      <c r="O139">
        <v>7</v>
      </c>
      <c r="P139">
        <v>6</v>
      </c>
      <c r="Q139">
        <v>5</v>
      </c>
      <c r="R139">
        <v>17</v>
      </c>
      <c r="S139">
        <v>12.6</v>
      </c>
      <c r="T139">
        <v>2025</v>
      </c>
    </row>
    <row r="140" spans="1:20" x14ac:dyDescent="0.25">
      <c r="A140" t="s">
        <v>23</v>
      </c>
      <c r="B140" t="s">
        <v>306</v>
      </c>
      <c r="C140">
        <v>14.617636430961999</v>
      </c>
      <c r="D140">
        <v>19.957798004150401</v>
      </c>
      <c r="E140">
        <v>39.269282948225722</v>
      </c>
      <c r="F140">
        <v>41.152207180857658</v>
      </c>
      <c r="H140" s="1">
        <v>45930</v>
      </c>
      <c r="I140" t="s">
        <v>7</v>
      </c>
      <c r="J140">
        <v>90</v>
      </c>
      <c r="K140" s="2">
        <v>5.5</v>
      </c>
      <c r="L140">
        <v>3.2</v>
      </c>
      <c r="M140">
        <v>17</v>
      </c>
      <c r="N140">
        <v>9</v>
      </c>
      <c r="O140">
        <v>1</v>
      </c>
      <c r="P140">
        <v>12</v>
      </c>
      <c r="Q140">
        <v>2</v>
      </c>
      <c r="R140">
        <v>17</v>
      </c>
      <c r="S140">
        <v>12.6</v>
      </c>
      <c r="T140">
        <v>2025</v>
      </c>
    </row>
    <row r="141" spans="1:20" x14ac:dyDescent="0.25">
      <c r="A141" t="s">
        <v>23</v>
      </c>
      <c r="B141" t="s">
        <v>306</v>
      </c>
      <c r="C141">
        <v>14.617636430961999</v>
      </c>
      <c r="D141">
        <v>19.957798004150401</v>
      </c>
      <c r="E141">
        <v>39.269282948225722</v>
      </c>
      <c r="F141">
        <v>41.152207180857658</v>
      </c>
      <c r="H141" s="1">
        <v>45930</v>
      </c>
      <c r="I141" t="s">
        <v>8</v>
      </c>
      <c r="J141">
        <v>105</v>
      </c>
      <c r="K141" s="2">
        <v>5.0999999999999996</v>
      </c>
      <c r="L141">
        <v>4.3</v>
      </c>
      <c r="M141">
        <v>17</v>
      </c>
      <c r="N141">
        <v>7</v>
      </c>
      <c r="O141">
        <v>11</v>
      </c>
      <c r="P141">
        <v>15</v>
      </c>
      <c r="Q141">
        <v>12</v>
      </c>
      <c r="R141">
        <v>17</v>
      </c>
      <c r="S141">
        <v>12.6</v>
      </c>
      <c r="T141">
        <v>2025</v>
      </c>
    </row>
    <row r="142" spans="1:20" x14ac:dyDescent="0.25">
      <c r="A142" t="s">
        <v>23</v>
      </c>
      <c r="B142" t="s">
        <v>306</v>
      </c>
      <c r="C142">
        <v>14.617636430961999</v>
      </c>
      <c r="D142">
        <v>19.957798004150401</v>
      </c>
      <c r="E142">
        <v>39.269282948225722</v>
      </c>
      <c r="F142">
        <v>41.152207180857658</v>
      </c>
      <c r="H142" s="1">
        <v>45930</v>
      </c>
      <c r="I142" t="s">
        <v>9</v>
      </c>
      <c r="J142">
        <v>120</v>
      </c>
      <c r="K142" s="2">
        <v>7.4</v>
      </c>
      <c r="L142">
        <v>2.9</v>
      </c>
      <c r="M142">
        <v>15</v>
      </c>
      <c r="N142">
        <v>14</v>
      </c>
      <c r="O142">
        <v>11</v>
      </c>
      <c r="P142">
        <v>15</v>
      </c>
      <c r="Q142">
        <v>9</v>
      </c>
      <c r="R142">
        <v>17</v>
      </c>
      <c r="S142">
        <v>12.6</v>
      </c>
      <c r="T142">
        <v>2025</v>
      </c>
    </row>
    <row r="143" spans="1:20" x14ac:dyDescent="0.25">
      <c r="A143" t="s">
        <v>23</v>
      </c>
      <c r="B143" t="s">
        <v>306</v>
      </c>
      <c r="C143">
        <v>14.617636430961999</v>
      </c>
      <c r="D143">
        <v>19.957798004150401</v>
      </c>
      <c r="E143">
        <v>39.269282948225722</v>
      </c>
      <c r="F143">
        <v>41.152207180857658</v>
      </c>
      <c r="H143" s="1">
        <v>45930</v>
      </c>
      <c r="I143" t="s">
        <v>10</v>
      </c>
      <c r="J143">
        <v>135</v>
      </c>
      <c r="K143" s="2">
        <v>4.5</v>
      </c>
      <c r="L143">
        <v>3.9</v>
      </c>
      <c r="M143">
        <v>17</v>
      </c>
      <c r="N143">
        <v>14</v>
      </c>
      <c r="O143">
        <v>15</v>
      </c>
      <c r="P143">
        <v>17</v>
      </c>
      <c r="Q143">
        <v>16</v>
      </c>
      <c r="R143">
        <v>17</v>
      </c>
      <c r="S143">
        <v>12.6</v>
      </c>
      <c r="T143">
        <v>2025</v>
      </c>
    </row>
    <row r="144" spans="1:20" x14ac:dyDescent="0.25">
      <c r="A144" t="s">
        <v>23</v>
      </c>
      <c r="B144" t="s">
        <v>306</v>
      </c>
      <c r="C144">
        <v>14.617636430961999</v>
      </c>
      <c r="D144">
        <v>19.957798004150401</v>
      </c>
      <c r="E144">
        <v>39.269282948225722</v>
      </c>
      <c r="F144">
        <v>41.152207180857658</v>
      </c>
      <c r="H144" s="1">
        <v>45930</v>
      </c>
      <c r="I144" t="s">
        <v>11</v>
      </c>
      <c r="J144">
        <v>150</v>
      </c>
      <c r="K144" s="2">
        <v>4.2</v>
      </c>
      <c r="L144">
        <v>4.8</v>
      </c>
      <c r="M144">
        <v>9</v>
      </c>
      <c r="N144">
        <v>12</v>
      </c>
      <c r="O144">
        <v>16</v>
      </c>
      <c r="P144">
        <v>16</v>
      </c>
      <c r="Q144">
        <v>7</v>
      </c>
      <c r="R144">
        <v>17</v>
      </c>
      <c r="S144">
        <v>12.6</v>
      </c>
      <c r="T144">
        <v>2025</v>
      </c>
    </row>
    <row r="145" spans="1:20" x14ac:dyDescent="0.25">
      <c r="A145" t="s">
        <v>24</v>
      </c>
      <c r="B145" t="s">
        <v>311</v>
      </c>
      <c r="C145">
        <v>9.2180523326926096</v>
      </c>
      <c r="D145">
        <v>49.990440368652301</v>
      </c>
      <c r="E145">
        <v>82.549437135458035</v>
      </c>
      <c r="F145">
        <v>1.435227296315134</v>
      </c>
      <c r="H145" s="1">
        <v>45929</v>
      </c>
      <c r="I145" t="s">
        <v>0</v>
      </c>
      <c r="J145">
        <v>0</v>
      </c>
      <c r="K145" s="2">
        <v>4.5999999999999996</v>
      </c>
      <c r="L145">
        <v>4.0999999999999996</v>
      </c>
      <c r="M145">
        <v>11</v>
      </c>
      <c r="N145">
        <v>17</v>
      </c>
      <c r="O145">
        <v>13</v>
      </c>
      <c r="P145">
        <v>17</v>
      </c>
      <c r="Q145">
        <v>14</v>
      </c>
      <c r="R145">
        <v>17</v>
      </c>
      <c r="S145">
        <v>3.7</v>
      </c>
      <c r="T145">
        <v>2025</v>
      </c>
    </row>
    <row r="146" spans="1:20" x14ac:dyDescent="0.25">
      <c r="A146" t="s">
        <v>24</v>
      </c>
      <c r="B146" t="s">
        <v>311</v>
      </c>
      <c r="C146">
        <v>9.2180523326926096</v>
      </c>
      <c r="D146">
        <v>49.990440368652301</v>
      </c>
      <c r="E146">
        <v>82.549437135458035</v>
      </c>
      <c r="F146">
        <v>1.435227296315134</v>
      </c>
      <c r="H146" s="1">
        <v>45929</v>
      </c>
      <c r="I146" t="s">
        <v>1</v>
      </c>
      <c r="J146">
        <v>15</v>
      </c>
      <c r="K146" s="2">
        <v>5.3</v>
      </c>
      <c r="L146">
        <v>5.3</v>
      </c>
      <c r="M146">
        <v>17</v>
      </c>
      <c r="N146">
        <v>14</v>
      </c>
      <c r="O146">
        <v>14</v>
      </c>
      <c r="P146">
        <v>17</v>
      </c>
      <c r="Q146">
        <v>14</v>
      </c>
      <c r="R146">
        <v>17</v>
      </c>
      <c r="S146">
        <v>3.7</v>
      </c>
      <c r="T146">
        <v>2025</v>
      </c>
    </row>
    <row r="147" spans="1:20" x14ac:dyDescent="0.25">
      <c r="A147" t="s">
        <v>24</v>
      </c>
      <c r="B147" t="s">
        <v>311</v>
      </c>
      <c r="C147">
        <v>9.2180523326926096</v>
      </c>
      <c r="D147">
        <v>49.990440368652301</v>
      </c>
      <c r="E147">
        <v>82.549437135458035</v>
      </c>
      <c r="F147">
        <v>1.435227296315134</v>
      </c>
      <c r="H147" s="1">
        <v>45929</v>
      </c>
      <c r="I147" t="s">
        <v>3</v>
      </c>
      <c r="J147">
        <v>30</v>
      </c>
      <c r="K147" s="2">
        <v>7.5</v>
      </c>
      <c r="L147">
        <v>4.5</v>
      </c>
      <c r="M147">
        <v>13</v>
      </c>
      <c r="N147">
        <v>12</v>
      </c>
      <c r="O147">
        <v>17</v>
      </c>
      <c r="P147">
        <v>17</v>
      </c>
      <c r="Q147">
        <v>15</v>
      </c>
      <c r="R147">
        <v>17</v>
      </c>
      <c r="S147">
        <v>3.7</v>
      </c>
      <c r="T147">
        <v>2025</v>
      </c>
    </row>
    <row r="148" spans="1:20" x14ac:dyDescent="0.25">
      <c r="A148" t="s">
        <v>24</v>
      </c>
      <c r="B148" t="s">
        <v>311</v>
      </c>
      <c r="C148">
        <v>9.2180523326926096</v>
      </c>
      <c r="D148">
        <v>49.990440368652301</v>
      </c>
      <c r="E148">
        <v>82.549437135458035</v>
      </c>
      <c r="F148">
        <v>1.435227296315134</v>
      </c>
      <c r="H148" s="1">
        <v>45929</v>
      </c>
      <c r="I148" t="s">
        <v>4</v>
      </c>
      <c r="J148">
        <v>45</v>
      </c>
      <c r="K148" s="2">
        <v>4.7</v>
      </c>
      <c r="L148">
        <v>3.8</v>
      </c>
      <c r="M148">
        <v>11</v>
      </c>
      <c r="N148">
        <v>13</v>
      </c>
      <c r="O148">
        <v>12</v>
      </c>
      <c r="P148">
        <v>11</v>
      </c>
      <c r="Q148">
        <v>9</v>
      </c>
      <c r="R148">
        <v>17</v>
      </c>
      <c r="S148">
        <v>3.7</v>
      </c>
      <c r="T148">
        <v>2025</v>
      </c>
    </row>
    <row r="149" spans="1:20" x14ac:dyDescent="0.25">
      <c r="A149" t="s">
        <v>24</v>
      </c>
      <c r="B149" t="s">
        <v>311</v>
      </c>
      <c r="C149">
        <v>9.2180523326926096</v>
      </c>
      <c r="D149">
        <v>49.990440368652301</v>
      </c>
      <c r="E149">
        <v>82.549437135458035</v>
      </c>
      <c r="F149">
        <v>1.435227296315134</v>
      </c>
      <c r="H149" s="1">
        <v>45929</v>
      </c>
      <c r="I149" t="s">
        <v>5</v>
      </c>
      <c r="J149">
        <v>60</v>
      </c>
      <c r="K149" s="2">
        <v>6.9</v>
      </c>
      <c r="L149">
        <v>4.4000000000000004</v>
      </c>
      <c r="M149">
        <v>16</v>
      </c>
      <c r="N149">
        <v>14</v>
      </c>
      <c r="O149">
        <v>13</v>
      </c>
      <c r="P149">
        <v>17</v>
      </c>
      <c r="Q149">
        <v>17</v>
      </c>
      <c r="R149">
        <v>17</v>
      </c>
      <c r="S149">
        <v>3.7</v>
      </c>
      <c r="T149">
        <v>2025</v>
      </c>
    </row>
    <row r="150" spans="1:20" x14ac:dyDescent="0.25">
      <c r="A150" t="s">
        <v>24</v>
      </c>
      <c r="B150" t="s">
        <v>311</v>
      </c>
      <c r="C150">
        <v>9.2180523326926096</v>
      </c>
      <c r="D150">
        <v>49.990440368652301</v>
      </c>
      <c r="E150">
        <v>82.549437135458035</v>
      </c>
      <c r="F150">
        <v>1.435227296315134</v>
      </c>
      <c r="H150" s="1">
        <v>45929</v>
      </c>
      <c r="I150" t="s">
        <v>6</v>
      </c>
      <c r="J150">
        <v>75</v>
      </c>
      <c r="K150" s="2">
        <v>7.7</v>
      </c>
      <c r="L150">
        <v>2.8</v>
      </c>
      <c r="M150">
        <v>14</v>
      </c>
      <c r="N150">
        <v>15</v>
      </c>
      <c r="O150">
        <v>10</v>
      </c>
      <c r="P150">
        <v>16</v>
      </c>
      <c r="Q150">
        <v>15</v>
      </c>
      <c r="R150">
        <v>17</v>
      </c>
      <c r="S150">
        <v>3.7</v>
      </c>
      <c r="T150">
        <v>2025</v>
      </c>
    </row>
    <row r="151" spans="1:20" x14ac:dyDescent="0.25">
      <c r="A151" t="s">
        <v>24</v>
      </c>
      <c r="B151" t="s">
        <v>311</v>
      </c>
      <c r="C151">
        <v>9.2180523326926096</v>
      </c>
      <c r="D151">
        <v>49.990440368652301</v>
      </c>
      <c r="E151">
        <v>82.549437135458035</v>
      </c>
      <c r="F151">
        <v>1.435227296315134</v>
      </c>
      <c r="H151" s="1">
        <v>45929</v>
      </c>
      <c r="I151" t="s">
        <v>7</v>
      </c>
      <c r="J151">
        <v>90</v>
      </c>
      <c r="K151" s="2">
        <v>6.2</v>
      </c>
      <c r="L151">
        <v>4.2</v>
      </c>
      <c r="M151">
        <v>17</v>
      </c>
      <c r="N151">
        <v>17</v>
      </c>
      <c r="O151">
        <v>16</v>
      </c>
      <c r="P151">
        <v>11</v>
      </c>
      <c r="Q151">
        <v>17</v>
      </c>
      <c r="R151">
        <v>15</v>
      </c>
      <c r="S151">
        <v>3.7</v>
      </c>
      <c r="T151">
        <v>2025</v>
      </c>
    </row>
    <row r="152" spans="1:20" x14ac:dyDescent="0.25">
      <c r="A152" t="s">
        <v>24</v>
      </c>
      <c r="B152" t="s">
        <v>311</v>
      </c>
      <c r="C152">
        <v>9.2180523326926096</v>
      </c>
      <c r="D152">
        <v>49.990440368652301</v>
      </c>
      <c r="E152">
        <v>82.549437135458035</v>
      </c>
      <c r="F152">
        <v>1.435227296315134</v>
      </c>
      <c r="H152" s="1">
        <v>45929</v>
      </c>
      <c r="I152" t="s">
        <v>8</v>
      </c>
      <c r="J152">
        <v>105</v>
      </c>
      <c r="K152" s="2">
        <v>4</v>
      </c>
      <c r="L152">
        <v>3.1</v>
      </c>
      <c r="M152">
        <v>17</v>
      </c>
      <c r="N152">
        <v>17</v>
      </c>
      <c r="O152">
        <v>16</v>
      </c>
      <c r="P152">
        <v>16</v>
      </c>
      <c r="Q152">
        <v>17</v>
      </c>
      <c r="R152">
        <v>16</v>
      </c>
      <c r="S152">
        <v>3.7</v>
      </c>
      <c r="T152">
        <v>2025</v>
      </c>
    </row>
    <row r="153" spans="1:20" x14ac:dyDescent="0.25">
      <c r="A153" t="s">
        <v>24</v>
      </c>
      <c r="B153" t="s">
        <v>311</v>
      </c>
      <c r="C153">
        <v>9.2180523326926096</v>
      </c>
      <c r="D153">
        <v>49.990440368652301</v>
      </c>
      <c r="E153">
        <v>82.549437135458035</v>
      </c>
      <c r="F153">
        <v>1.435227296315134</v>
      </c>
      <c r="H153" s="1">
        <v>45929</v>
      </c>
      <c r="I153" t="s">
        <v>9</v>
      </c>
      <c r="J153">
        <v>120</v>
      </c>
      <c r="K153" s="2">
        <v>4.0999999999999996</v>
      </c>
      <c r="L153">
        <v>3</v>
      </c>
      <c r="M153">
        <v>17</v>
      </c>
      <c r="N153">
        <v>17</v>
      </c>
      <c r="O153">
        <v>17</v>
      </c>
      <c r="P153">
        <v>17</v>
      </c>
      <c r="Q153">
        <v>17</v>
      </c>
      <c r="R153">
        <v>17</v>
      </c>
      <c r="S153">
        <v>3.7</v>
      </c>
      <c r="T153">
        <v>2025</v>
      </c>
    </row>
    <row r="154" spans="1:20" x14ac:dyDescent="0.25">
      <c r="A154" t="s">
        <v>24</v>
      </c>
      <c r="B154" t="s">
        <v>311</v>
      </c>
      <c r="C154">
        <v>9.2180523326926096</v>
      </c>
      <c r="D154">
        <v>49.990440368652301</v>
      </c>
      <c r="E154">
        <v>82.549437135458035</v>
      </c>
      <c r="F154">
        <v>1.435227296315134</v>
      </c>
      <c r="H154" s="1">
        <v>45929</v>
      </c>
      <c r="I154" t="s">
        <v>10</v>
      </c>
      <c r="J154">
        <v>135</v>
      </c>
      <c r="K154" s="2">
        <v>6</v>
      </c>
      <c r="L154">
        <v>5.3</v>
      </c>
      <c r="M154">
        <v>17</v>
      </c>
      <c r="N154">
        <v>17</v>
      </c>
      <c r="O154">
        <v>17</v>
      </c>
      <c r="P154">
        <v>17</v>
      </c>
      <c r="Q154">
        <v>17</v>
      </c>
      <c r="R154">
        <v>17</v>
      </c>
      <c r="S154">
        <v>3.7</v>
      </c>
      <c r="T154">
        <v>2025</v>
      </c>
    </row>
    <row r="155" spans="1:20" x14ac:dyDescent="0.25">
      <c r="A155" t="s">
        <v>24</v>
      </c>
      <c r="B155" t="s">
        <v>311</v>
      </c>
      <c r="C155">
        <v>9.2180523326926096</v>
      </c>
      <c r="D155">
        <v>49.990440368652301</v>
      </c>
      <c r="E155">
        <v>82.549437135458035</v>
      </c>
      <c r="F155">
        <v>1.435227296315134</v>
      </c>
      <c r="H155" s="1">
        <v>45929</v>
      </c>
      <c r="I155" t="s">
        <v>11</v>
      </c>
      <c r="J155">
        <v>150</v>
      </c>
      <c r="K155" s="2">
        <v>6.5</v>
      </c>
      <c r="L155">
        <v>3.5</v>
      </c>
      <c r="M155">
        <v>17</v>
      </c>
      <c r="N155">
        <v>15</v>
      </c>
      <c r="O155">
        <v>16</v>
      </c>
      <c r="P155">
        <v>17</v>
      </c>
      <c r="Q155">
        <v>17</v>
      </c>
      <c r="R155">
        <v>17</v>
      </c>
      <c r="S155">
        <v>3.7</v>
      </c>
      <c r="T155">
        <v>2025</v>
      </c>
    </row>
    <row r="156" spans="1:20" x14ac:dyDescent="0.25">
      <c r="A156" t="s">
        <v>25</v>
      </c>
      <c r="B156" t="s">
        <v>139</v>
      </c>
      <c r="C156">
        <v>8.42564644135539</v>
      </c>
      <c r="D156">
        <v>6.51253461837769</v>
      </c>
      <c r="E156">
        <v>12.011488107964393</v>
      </c>
      <c r="F156">
        <v>61.809452809393441</v>
      </c>
      <c r="H156" s="1">
        <v>45932</v>
      </c>
      <c r="I156" t="s">
        <v>0</v>
      </c>
      <c r="J156">
        <v>0</v>
      </c>
      <c r="K156" s="2">
        <v>11.3</v>
      </c>
      <c r="L156">
        <v>8.6</v>
      </c>
      <c r="M156">
        <v>17</v>
      </c>
      <c r="N156">
        <v>11</v>
      </c>
      <c r="O156">
        <v>13</v>
      </c>
      <c r="P156">
        <v>17</v>
      </c>
      <c r="Q156">
        <v>14</v>
      </c>
      <c r="R156">
        <v>17</v>
      </c>
      <c r="S156">
        <v>64.7</v>
      </c>
      <c r="T156">
        <v>2025</v>
      </c>
    </row>
    <row r="157" spans="1:20" x14ac:dyDescent="0.25">
      <c r="A157" t="s">
        <v>25</v>
      </c>
      <c r="B157" t="s">
        <v>139</v>
      </c>
      <c r="C157">
        <v>8.42564644135539</v>
      </c>
      <c r="D157">
        <v>6.51253461837769</v>
      </c>
      <c r="E157">
        <v>12.011488107964393</v>
      </c>
      <c r="F157">
        <v>61.809452809393441</v>
      </c>
      <c r="H157" s="1">
        <v>45932</v>
      </c>
      <c r="I157" t="s">
        <v>1</v>
      </c>
      <c r="J157">
        <v>10</v>
      </c>
      <c r="K157" s="2">
        <v>11.8</v>
      </c>
      <c r="L157">
        <v>10</v>
      </c>
      <c r="M157">
        <v>17</v>
      </c>
      <c r="N157">
        <v>16</v>
      </c>
      <c r="O157">
        <v>14</v>
      </c>
      <c r="P157">
        <v>16</v>
      </c>
      <c r="Q157">
        <v>15</v>
      </c>
      <c r="R157">
        <v>17</v>
      </c>
      <c r="S157">
        <v>64.7</v>
      </c>
      <c r="T157">
        <v>2025</v>
      </c>
    </row>
    <row r="158" spans="1:20" x14ac:dyDescent="0.25">
      <c r="A158" t="s">
        <v>25</v>
      </c>
      <c r="B158" t="s">
        <v>139</v>
      </c>
      <c r="C158">
        <v>8.42564644135539</v>
      </c>
      <c r="D158">
        <v>6.51253461837769</v>
      </c>
      <c r="E158">
        <v>12.011488107964393</v>
      </c>
      <c r="F158">
        <v>61.809452809393441</v>
      </c>
      <c r="H158" s="1">
        <v>45932</v>
      </c>
      <c r="I158" t="s">
        <v>3</v>
      </c>
      <c r="J158">
        <v>20</v>
      </c>
      <c r="K158" s="2">
        <v>11.5</v>
      </c>
      <c r="L158">
        <v>8.3000000000000007</v>
      </c>
      <c r="M158">
        <v>17</v>
      </c>
      <c r="N158">
        <v>12</v>
      </c>
      <c r="O158">
        <v>17</v>
      </c>
      <c r="P158">
        <v>17</v>
      </c>
      <c r="Q158">
        <v>17</v>
      </c>
      <c r="R158">
        <v>17</v>
      </c>
      <c r="S158">
        <v>64.7</v>
      </c>
      <c r="T158">
        <v>2025</v>
      </c>
    </row>
    <row r="159" spans="1:20" x14ac:dyDescent="0.25">
      <c r="A159" t="s">
        <v>25</v>
      </c>
      <c r="B159" t="s">
        <v>139</v>
      </c>
      <c r="C159">
        <v>8.42564644135539</v>
      </c>
      <c r="D159">
        <v>6.51253461837769</v>
      </c>
      <c r="E159">
        <v>12.011488107964393</v>
      </c>
      <c r="F159">
        <v>61.809452809393441</v>
      </c>
      <c r="H159" s="1">
        <v>45932</v>
      </c>
      <c r="I159" t="s">
        <v>4</v>
      </c>
      <c r="J159">
        <v>30</v>
      </c>
      <c r="K159" s="2">
        <v>14</v>
      </c>
      <c r="L159">
        <v>6</v>
      </c>
      <c r="M159">
        <v>17</v>
      </c>
      <c r="N159">
        <v>14</v>
      </c>
      <c r="O159">
        <v>6</v>
      </c>
      <c r="P159">
        <v>17</v>
      </c>
      <c r="Q159">
        <v>16</v>
      </c>
      <c r="R159">
        <v>17</v>
      </c>
      <c r="S159">
        <v>64.7</v>
      </c>
      <c r="T159">
        <v>2025</v>
      </c>
    </row>
    <row r="160" spans="1:20" x14ac:dyDescent="0.25">
      <c r="A160" t="s">
        <v>25</v>
      </c>
      <c r="B160" t="s">
        <v>139</v>
      </c>
      <c r="C160">
        <v>8.42564644135539</v>
      </c>
      <c r="D160">
        <v>6.51253461837769</v>
      </c>
      <c r="E160">
        <v>12.011488107964393</v>
      </c>
      <c r="F160">
        <v>61.809452809393441</v>
      </c>
      <c r="H160" s="1">
        <v>45932</v>
      </c>
      <c r="I160" t="s">
        <v>5</v>
      </c>
      <c r="J160">
        <v>40</v>
      </c>
      <c r="K160" s="2">
        <v>12.7</v>
      </c>
      <c r="L160">
        <v>11.9</v>
      </c>
      <c r="M160">
        <v>15</v>
      </c>
      <c r="N160">
        <v>17</v>
      </c>
      <c r="O160">
        <v>15</v>
      </c>
      <c r="P160">
        <v>15</v>
      </c>
      <c r="Q160">
        <v>13</v>
      </c>
      <c r="R160">
        <v>17</v>
      </c>
      <c r="S160">
        <v>64.7</v>
      </c>
      <c r="T160">
        <v>2025</v>
      </c>
    </row>
    <row r="161" spans="1:20" x14ac:dyDescent="0.25">
      <c r="A161" t="s">
        <v>25</v>
      </c>
      <c r="B161" t="s">
        <v>139</v>
      </c>
      <c r="C161">
        <v>8.42564644135539</v>
      </c>
      <c r="D161">
        <v>6.51253461837769</v>
      </c>
      <c r="E161">
        <v>12.011488107964393</v>
      </c>
      <c r="F161">
        <v>61.809452809393441</v>
      </c>
      <c r="H161" s="1">
        <v>45932</v>
      </c>
      <c r="I161" t="s">
        <v>6</v>
      </c>
      <c r="J161">
        <v>50</v>
      </c>
      <c r="K161" s="2">
        <v>12.6</v>
      </c>
      <c r="L161">
        <v>9.9</v>
      </c>
      <c r="M161">
        <v>17</v>
      </c>
      <c r="N161">
        <v>14</v>
      </c>
      <c r="O161">
        <v>17</v>
      </c>
      <c r="P161">
        <v>16</v>
      </c>
      <c r="Q161">
        <v>12</v>
      </c>
      <c r="R161">
        <v>17</v>
      </c>
      <c r="S161">
        <v>64.7</v>
      </c>
      <c r="T161">
        <v>2025</v>
      </c>
    </row>
    <row r="162" spans="1:20" x14ac:dyDescent="0.25">
      <c r="A162" t="s">
        <v>25</v>
      </c>
      <c r="B162" t="s">
        <v>139</v>
      </c>
      <c r="C162">
        <v>8.42564644135539</v>
      </c>
      <c r="D162">
        <v>6.51253461837769</v>
      </c>
      <c r="E162">
        <v>12.011488107964393</v>
      </c>
      <c r="F162">
        <v>61.809452809393441</v>
      </c>
      <c r="H162" s="1">
        <v>45932</v>
      </c>
      <c r="I162" t="s">
        <v>7</v>
      </c>
      <c r="J162">
        <v>60</v>
      </c>
      <c r="K162" s="2">
        <v>11.2</v>
      </c>
      <c r="L162">
        <v>7.4</v>
      </c>
      <c r="M162">
        <v>17</v>
      </c>
      <c r="N162">
        <v>12</v>
      </c>
      <c r="O162">
        <v>8</v>
      </c>
      <c r="P162">
        <v>14</v>
      </c>
      <c r="Q162">
        <v>6</v>
      </c>
      <c r="R162">
        <v>17</v>
      </c>
      <c r="S162">
        <v>64.7</v>
      </c>
      <c r="T162">
        <v>2025</v>
      </c>
    </row>
    <row r="163" spans="1:20" x14ac:dyDescent="0.25">
      <c r="A163" t="s">
        <v>25</v>
      </c>
      <c r="B163" t="s">
        <v>139</v>
      </c>
      <c r="C163">
        <v>8.42564644135539</v>
      </c>
      <c r="D163">
        <v>6.51253461837769</v>
      </c>
      <c r="E163">
        <v>12.011488107964393</v>
      </c>
      <c r="F163">
        <v>61.809452809393441</v>
      </c>
      <c r="H163" s="1">
        <v>45932</v>
      </c>
      <c r="I163" t="s">
        <v>8</v>
      </c>
      <c r="J163">
        <v>70</v>
      </c>
      <c r="K163" s="2">
        <v>11.5</v>
      </c>
      <c r="L163">
        <v>8.6999999999999993</v>
      </c>
      <c r="M163">
        <v>17</v>
      </c>
      <c r="N163">
        <v>13</v>
      </c>
      <c r="O163">
        <v>11</v>
      </c>
      <c r="P163">
        <v>9</v>
      </c>
      <c r="Q163">
        <v>13</v>
      </c>
      <c r="R163">
        <v>17</v>
      </c>
      <c r="S163">
        <v>64.7</v>
      </c>
      <c r="T163">
        <v>2025</v>
      </c>
    </row>
    <row r="164" spans="1:20" x14ac:dyDescent="0.25">
      <c r="A164" t="s">
        <v>25</v>
      </c>
      <c r="B164" t="s">
        <v>139</v>
      </c>
      <c r="C164">
        <v>8.42564644135539</v>
      </c>
      <c r="D164">
        <v>6.51253461837769</v>
      </c>
      <c r="E164">
        <v>12.011488107964393</v>
      </c>
      <c r="F164">
        <v>61.809452809393441</v>
      </c>
      <c r="H164" s="1">
        <v>45932</v>
      </c>
      <c r="I164" t="s">
        <v>9</v>
      </c>
      <c r="J164">
        <v>80</v>
      </c>
      <c r="K164" s="2">
        <v>13.9</v>
      </c>
      <c r="L164">
        <v>7.3</v>
      </c>
      <c r="M164">
        <v>17</v>
      </c>
      <c r="N164">
        <v>13</v>
      </c>
      <c r="O164">
        <v>6</v>
      </c>
      <c r="P164">
        <v>9</v>
      </c>
      <c r="Q164">
        <v>12</v>
      </c>
      <c r="R164">
        <v>17</v>
      </c>
      <c r="S164">
        <v>64.7</v>
      </c>
      <c r="T164">
        <v>2025</v>
      </c>
    </row>
    <row r="165" spans="1:20" x14ac:dyDescent="0.25">
      <c r="A165" t="s">
        <v>25</v>
      </c>
      <c r="B165" t="s">
        <v>139</v>
      </c>
      <c r="C165">
        <v>8.42564644135539</v>
      </c>
      <c r="D165">
        <v>6.51253461837769</v>
      </c>
      <c r="E165">
        <v>12.011488107964393</v>
      </c>
      <c r="F165">
        <v>61.809452809393441</v>
      </c>
      <c r="H165" s="1">
        <v>45932</v>
      </c>
      <c r="I165" t="s">
        <v>10</v>
      </c>
      <c r="J165">
        <v>90</v>
      </c>
      <c r="K165" s="2">
        <v>16.2</v>
      </c>
      <c r="L165">
        <v>9</v>
      </c>
      <c r="M165">
        <v>17</v>
      </c>
      <c r="N165">
        <v>2</v>
      </c>
      <c r="O165">
        <v>4</v>
      </c>
      <c r="P165">
        <v>12</v>
      </c>
      <c r="Q165">
        <v>8</v>
      </c>
      <c r="R165">
        <v>16</v>
      </c>
      <c r="S165">
        <v>64.7</v>
      </c>
      <c r="T165">
        <v>2025</v>
      </c>
    </row>
    <row r="166" spans="1:20" x14ac:dyDescent="0.25">
      <c r="A166" t="s">
        <v>25</v>
      </c>
      <c r="B166" t="s">
        <v>139</v>
      </c>
      <c r="C166">
        <v>8.42564644135539</v>
      </c>
      <c r="D166">
        <v>6.51253461837769</v>
      </c>
      <c r="E166">
        <v>12.011488107964393</v>
      </c>
      <c r="F166">
        <v>61.809452809393441</v>
      </c>
      <c r="H166" s="1">
        <v>45932</v>
      </c>
      <c r="I166" t="s">
        <v>11</v>
      </c>
      <c r="J166">
        <v>100</v>
      </c>
      <c r="K166" s="2">
        <v>9.3000000000000007</v>
      </c>
      <c r="L166">
        <v>6.1</v>
      </c>
      <c r="M166">
        <v>17</v>
      </c>
      <c r="N166">
        <v>2</v>
      </c>
      <c r="O166">
        <v>14</v>
      </c>
      <c r="P166">
        <v>13</v>
      </c>
      <c r="Q166">
        <v>13</v>
      </c>
      <c r="R166">
        <v>17</v>
      </c>
      <c r="S166">
        <v>64.7</v>
      </c>
      <c r="T166">
        <v>2025</v>
      </c>
    </row>
    <row r="167" spans="1:20" x14ac:dyDescent="0.25">
      <c r="A167" t="s">
        <v>26</v>
      </c>
      <c r="B167" t="s">
        <v>188</v>
      </c>
      <c r="C167">
        <v>14.961393459395699</v>
      </c>
      <c r="D167">
        <v>0.22439329326152799</v>
      </c>
      <c r="E167">
        <v>0.29578405374195399</v>
      </c>
      <c r="F167">
        <v>91.527625918388296</v>
      </c>
      <c r="H167" s="1">
        <v>45937</v>
      </c>
      <c r="I167" t="s">
        <v>0</v>
      </c>
      <c r="J167">
        <v>0</v>
      </c>
      <c r="K167" s="2">
        <v>4.7</v>
      </c>
      <c r="L167">
        <v>4.3</v>
      </c>
      <c r="M167">
        <v>17</v>
      </c>
      <c r="N167">
        <v>15</v>
      </c>
      <c r="O167">
        <v>17</v>
      </c>
      <c r="P167">
        <v>17</v>
      </c>
      <c r="Q167">
        <v>17</v>
      </c>
      <c r="R167">
        <v>17</v>
      </c>
      <c r="S167">
        <v>97.4</v>
      </c>
      <c r="T167">
        <v>2025</v>
      </c>
    </row>
    <row r="168" spans="1:20" x14ac:dyDescent="0.25">
      <c r="A168" t="s">
        <v>26</v>
      </c>
      <c r="B168" t="s">
        <v>188</v>
      </c>
      <c r="C168">
        <v>14.961393459395699</v>
      </c>
      <c r="D168">
        <v>0.22439329326152799</v>
      </c>
      <c r="E168">
        <v>0.29578405374195399</v>
      </c>
      <c r="F168">
        <v>91.527625918388296</v>
      </c>
      <c r="H168" s="1">
        <v>45937</v>
      </c>
      <c r="I168" t="s">
        <v>1</v>
      </c>
      <c r="J168">
        <v>15</v>
      </c>
      <c r="K168" s="2">
        <v>5.5</v>
      </c>
      <c r="L168">
        <v>1.8</v>
      </c>
      <c r="M168">
        <v>17</v>
      </c>
      <c r="N168">
        <v>15</v>
      </c>
      <c r="O168">
        <v>14</v>
      </c>
      <c r="P168">
        <v>8</v>
      </c>
      <c r="Q168">
        <v>17</v>
      </c>
      <c r="R168">
        <v>17</v>
      </c>
      <c r="S168">
        <v>97.4</v>
      </c>
      <c r="T168">
        <v>2025</v>
      </c>
    </row>
    <row r="169" spans="1:20" x14ac:dyDescent="0.25">
      <c r="A169" t="s">
        <v>26</v>
      </c>
      <c r="B169" t="s">
        <v>188</v>
      </c>
      <c r="C169">
        <v>14.961393459395699</v>
      </c>
      <c r="D169">
        <v>0.22439329326152799</v>
      </c>
      <c r="E169">
        <v>0.29578405374195399</v>
      </c>
      <c r="F169">
        <v>91.527625918388296</v>
      </c>
      <c r="H169" s="1">
        <v>45937</v>
      </c>
      <c r="I169" t="s">
        <v>3</v>
      </c>
      <c r="J169">
        <v>30</v>
      </c>
      <c r="K169" s="2">
        <v>3.6</v>
      </c>
      <c r="L169">
        <v>1.8</v>
      </c>
      <c r="M169">
        <v>17</v>
      </c>
      <c r="N169">
        <v>16</v>
      </c>
      <c r="O169">
        <v>17</v>
      </c>
      <c r="P169">
        <v>16</v>
      </c>
      <c r="Q169">
        <v>17</v>
      </c>
      <c r="R169">
        <v>17</v>
      </c>
      <c r="S169">
        <v>97.4</v>
      </c>
      <c r="T169">
        <v>2025</v>
      </c>
    </row>
    <row r="170" spans="1:20" x14ac:dyDescent="0.25">
      <c r="A170" t="s">
        <v>26</v>
      </c>
      <c r="B170" t="s">
        <v>188</v>
      </c>
      <c r="C170">
        <v>14.961393459395699</v>
      </c>
      <c r="D170">
        <v>0.22439329326152799</v>
      </c>
      <c r="E170">
        <v>0.29578405374195399</v>
      </c>
      <c r="F170">
        <v>91.527625918388296</v>
      </c>
      <c r="H170" s="1">
        <v>45937</v>
      </c>
      <c r="I170" t="s">
        <v>4</v>
      </c>
      <c r="J170">
        <v>45</v>
      </c>
      <c r="K170" s="2">
        <v>5.7</v>
      </c>
      <c r="L170">
        <v>5</v>
      </c>
      <c r="M170">
        <v>17</v>
      </c>
      <c r="N170">
        <v>14</v>
      </c>
      <c r="O170">
        <v>11</v>
      </c>
      <c r="P170">
        <v>16</v>
      </c>
      <c r="Q170">
        <v>11</v>
      </c>
      <c r="R170">
        <v>17</v>
      </c>
      <c r="S170">
        <v>97.4</v>
      </c>
      <c r="T170">
        <v>2025</v>
      </c>
    </row>
    <row r="171" spans="1:20" x14ac:dyDescent="0.25">
      <c r="A171" t="s">
        <v>26</v>
      </c>
      <c r="B171" t="s">
        <v>188</v>
      </c>
      <c r="C171">
        <v>14.961393459395699</v>
      </c>
      <c r="D171">
        <v>0.22439329326152799</v>
      </c>
      <c r="E171">
        <v>0.29578405374195399</v>
      </c>
      <c r="F171">
        <v>91.527625918388296</v>
      </c>
      <c r="H171" s="1">
        <v>45937</v>
      </c>
      <c r="I171" t="s">
        <v>5</v>
      </c>
      <c r="J171">
        <v>60</v>
      </c>
      <c r="K171" s="2">
        <v>3.4</v>
      </c>
      <c r="L171">
        <v>2.6</v>
      </c>
      <c r="M171">
        <v>16</v>
      </c>
      <c r="N171">
        <v>13</v>
      </c>
      <c r="O171">
        <v>4</v>
      </c>
      <c r="P171">
        <v>2</v>
      </c>
      <c r="Q171">
        <v>6</v>
      </c>
      <c r="R171">
        <v>9</v>
      </c>
      <c r="S171">
        <v>97.4</v>
      </c>
      <c r="T171">
        <v>2025</v>
      </c>
    </row>
    <row r="172" spans="1:20" x14ac:dyDescent="0.25">
      <c r="A172" t="s">
        <v>26</v>
      </c>
      <c r="B172" t="s">
        <v>188</v>
      </c>
      <c r="C172">
        <v>14.961393459395699</v>
      </c>
      <c r="D172">
        <v>0.22439329326152799</v>
      </c>
      <c r="E172">
        <v>0.29578405374195399</v>
      </c>
      <c r="F172">
        <v>91.527625918388296</v>
      </c>
      <c r="H172" s="1">
        <v>45937</v>
      </c>
      <c r="I172" t="s">
        <v>6</v>
      </c>
      <c r="J172">
        <v>75</v>
      </c>
      <c r="K172" s="2">
        <v>6</v>
      </c>
      <c r="L172">
        <v>3.4</v>
      </c>
      <c r="M172">
        <v>17</v>
      </c>
      <c r="N172">
        <v>16</v>
      </c>
      <c r="O172">
        <v>17</v>
      </c>
      <c r="P172">
        <v>16</v>
      </c>
      <c r="Q172">
        <v>17</v>
      </c>
      <c r="R172">
        <v>17</v>
      </c>
      <c r="S172">
        <v>97.4</v>
      </c>
      <c r="T172">
        <v>2025</v>
      </c>
    </row>
    <row r="173" spans="1:20" x14ac:dyDescent="0.25">
      <c r="A173" t="s">
        <v>26</v>
      </c>
      <c r="B173" t="s">
        <v>188</v>
      </c>
      <c r="C173">
        <v>14.961393459395699</v>
      </c>
      <c r="D173">
        <v>0.22439329326152799</v>
      </c>
      <c r="E173">
        <v>0.29578405374195399</v>
      </c>
      <c r="F173">
        <v>91.527625918388296</v>
      </c>
      <c r="H173" s="1">
        <v>45937</v>
      </c>
      <c r="I173" t="s">
        <v>7</v>
      </c>
      <c r="J173">
        <v>90</v>
      </c>
      <c r="K173" s="2">
        <v>3.5</v>
      </c>
      <c r="L173">
        <v>2.5</v>
      </c>
      <c r="M173">
        <v>15</v>
      </c>
      <c r="N173">
        <v>13</v>
      </c>
      <c r="O173">
        <v>2</v>
      </c>
      <c r="P173">
        <v>4</v>
      </c>
      <c r="Q173">
        <v>7</v>
      </c>
      <c r="R173">
        <v>17</v>
      </c>
      <c r="S173">
        <v>97.4</v>
      </c>
      <c r="T173">
        <v>2025</v>
      </c>
    </row>
    <row r="174" spans="1:20" x14ac:dyDescent="0.25">
      <c r="A174" t="s">
        <v>26</v>
      </c>
      <c r="B174" t="s">
        <v>188</v>
      </c>
      <c r="C174">
        <v>14.961393459395699</v>
      </c>
      <c r="D174">
        <v>0.22439329326152799</v>
      </c>
      <c r="E174">
        <v>0.29578405374195399</v>
      </c>
      <c r="F174">
        <v>91.527625918388296</v>
      </c>
      <c r="H174" s="1">
        <v>45937</v>
      </c>
      <c r="I174" t="s">
        <v>8</v>
      </c>
      <c r="J174">
        <v>105</v>
      </c>
      <c r="K174" s="2">
        <v>6.7</v>
      </c>
      <c r="L174">
        <v>4.8</v>
      </c>
      <c r="M174">
        <v>17</v>
      </c>
      <c r="N174">
        <v>12</v>
      </c>
      <c r="O174">
        <v>15</v>
      </c>
      <c r="P174">
        <v>14</v>
      </c>
      <c r="Q174">
        <v>17</v>
      </c>
      <c r="R174">
        <v>17</v>
      </c>
      <c r="S174">
        <v>97.4</v>
      </c>
      <c r="T174">
        <v>2025</v>
      </c>
    </row>
    <row r="175" spans="1:20" x14ac:dyDescent="0.25">
      <c r="A175" t="s">
        <v>26</v>
      </c>
      <c r="B175" t="s">
        <v>188</v>
      </c>
      <c r="C175">
        <v>14.961393459395699</v>
      </c>
      <c r="D175">
        <v>0.22439329326152799</v>
      </c>
      <c r="E175">
        <v>0.29578405374195399</v>
      </c>
      <c r="F175">
        <v>91.527625918388296</v>
      </c>
      <c r="H175" s="1">
        <v>45937</v>
      </c>
      <c r="I175" t="s">
        <v>9</v>
      </c>
      <c r="J175">
        <v>120</v>
      </c>
      <c r="K175" s="2">
        <v>6.5</v>
      </c>
      <c r="L175">
        <v>2.6</v>
      </c>
      <c r="M175">
        <v>17</v>
      </c>
      <c r="N175">
        <v>13</v>
      </c>
      <c r="O175">
        <v>11</v>
      </c>
      <c r="P175">
        <v>16</v>
      </c>
      <c r="Q175">
        <v>14</v>
      </c>
      <c r="R175">
        <v>17</v>
      </c>
      <c r="S175">
        <v>97.4</v>
      </c>
      <c r="T175">
        <v>2025</v>
      </c>
    </row>
    <row r="176" spans="1:20" x14ac:dyDescent="0.25">
      <c r="A176" t="s">
        <v>26</v>
      </c>
      <c r="B176" t="s">
        <v>188</v>
      </c>
      <c r="C176">
        <v>14.961393459395699</v>
      </c>
      <c r="D176">
        <v>0.22439329326152799</v>
      </c>
      <c r="E176">
        <v>0.29578405374195399</v>
      </c>
      <c r="F176">
        <v>91.527625918388296</v>
      </c>
      <c r="H176" s="1">
        <v>45937</v>
      </c>
      <c r="I176" t="s">
        <v>10</v>
      </c>
      <c r="J176">
        <v>135</v>
      </c>
      <c r="K176" s="2">
        <v>5.6</v>
      </c>
      <c r="L176">
        <v>5.3</v>
      </c>
      <c r="M176">
        <v>17</v>
      </c>
      <c r="N176">
        <v>11</v>
      </c>
      <c r="O176">
        <v>10</v>
      </c>
      <c r="P176">
        <v>12</v>
      </c>
      <c r="Q176">
        <v>5</v>
      </c>
      <c r="R176">
        <v>17</v>
      </c>
      <c r="S176">
        <v>97.4</v>
      </c>
      <c r="T176">
        <v>2025</v>
      </c>
    </row>
    <row r="177" spans="1:20" x14ac:dyDescent="0.25">
      <c r="A177" t="s">
        <v>26</v>
      </c>
      <c r="B177" t="s">
        <v>188</v>
      </c>
      <c r="C177">
        <v>14.961393459395699</v>
      </c>
      <c r="D177">
        <v>0.22439329326152799</v>
      </c>
      <c r="E177">
        <v>0.29578405374195399</v>
      </c>
      <c r="F177">
        <v>91.527625918388296</v>
      </c>
      <c r="H177" s="1">
        <v>45937</v>
      </c>
      <c r="I177" t="s">
        <v>11</v>
      </c>
      <c r="J177">
        <v>150</v>
      </c>
      <c r="K177" s="2">
        <v>6.4</v>
      </c>
      <c r="L177">
        <v>3.1</v>
      </c>
      <c r="M177">
        <v>14</v>
      </c>
      <c r="N177">
        <v>14</v>
      </c>
      <c r="O177">
        <v>8</v>
      </c>
      <c r="P177">
        <v>15</v>
      </c>
      <c r="Q177">
        <v>11</v>
      </c>
      <c r="R177">
        <v>17</v>
      </c>
      <c r="S177">
        <v>97.4</v>
      </c>
      <c r="T177">
        <v>2025</v>
      </c>
    </row>
    <row r="178" spans="1:20" x14ac:dyDescent="0.25">
      <c r="A178" t="s">
        <v>27</v>
      </c>
      <c r="B178" t="s">
        <v>213</v>
      </c>
      <c r="C178">
        <v>12.396353815308901</v>
      </c>
      <c r="D178">
        <v>4.3650093078613299</v>
      </c>
      <c r="E178">
        <v>6.9918701192364132</v>
      </c>
      <c r="F178">
        <v>60.25579534471035</v>
      </c>
      <c r="H178" s="1">
        <v>45936</v>
      </c>
      <c r="I178" t="s">
        <v>0</v>
      </c>
      <c r="J178">
        <v>0</v>
      </c>
      <c r="K178" s="2">
        <v>4.4000000000000004</v>
      </c>
      <c r="L178">
        <v>4.5</v>
      </c>
      <c r="M178">
        <v>17</v>
      </c>
      <c r="N178">
        <v>17</v>
      </c>
      <c r="O178">
        <v>17</v>
      </c>
      <c r="P178">
        <v>17</v>
      </c>
      <c r="Q178">
        <v>16</v>
      </c>
      <c r="R178">
        <v>17</v>
      </c>
      <c r="S178">
        <v>63.1</v>
      </c>
      <c r="T178">
        <v>2025</v>
      </c>
    </row>
    <row r="179" spans="1:20" x14ac:dyDescent="0.25">
      <c r="A179" t="s">
        <v>27</v>
      </c>
      <c r="B179" t="s">
        <v>213</v>
      </c>
      <c r="C179">
        <v>12.396353815308901</v>
      </c>
      <c r="D179">
        <v>4.3650093078613299</v>
      </c>
      <c r="E179">
        <v>6.9918701192364132</v>
      </c>
      <c r="F179">
        <v>60.25579534471035</v>
      </c>
      <c r="H179" s="1">
        <v>45936</v>
      </c>
      <c r="I179" t="s">
        <v>1</v>
      </c>
      <c r="J179">
        <v>15</v>
      </c>
      <c r="K179" s="2">
        <v>4.4000000000000004</v>
      </c>
      <c r="L179">
        <v>2.4</v>
      </c>
      <c r="M179">
        <v>17</v>
      </c>
      <c r="N179">
        <v>15</v>
      </c>
      <c r="O179">
        <v>17</v>
      </c>
      <c r="P179">
        <v>17</v>
      </c>
      <c r="Q179">
        <v>17</v>
      </c>
      <c r="R179">
        <v>16</v>
      </c>
      <c r="S179">
        <v>63.1</v>
      </c>
      <c r="T179">
        <v>2025</v>
      </c>
    </row>
    <row r="180" spans="1:20" x14ac:dyDescent="0.25">
      <c r="A180" t="s">
        <v>27</v>
      </c>
      <c r="B180" t="s">
        <v>213</v>
      </c>
      <c r="C180">
        <v>12.396353815308901</v>
      </c>
      <c r="D180">
        <v>4.3650093078613299</v>
      </c>
      <c r="E180">
        <v>6.9918701192364132</v>
      </c>
      <c r="F180">
        <v>60.25579534471035</v>
      </c>
      <c r="H180" s="1">
        <v>45936</v>
      </c>
      <c r="I180" t="s">
        <v>3</v>
      </c>
      <c r="J180">
        <v>30</v>
      </c>
      <c r="K180" s="2">
        <v>7.3</v>
      </c>
      <c r="L180">
        <v>4.5999999999999996</v>
      </c>
      <c r="M180">
        <v>17</v>
      </c>
      <c r="N180">
        <v>16</v>
      </c>
      <c r="O180">
        <v>17</v>
      </c>
      <c r="P180">
        <v>16</v>
      </c>
      <c r="Q180">
        <v>16</v>
      </c>
      <c r="R180">
        <v>17</v>
      </c>
      <c r="S180">
        <v>63.1</v>
      </c>
      <c r="T180">
        <v>2025</v>
      </c>
    </row>
    <row r="181" spans="1:20" x14ac:dyDescent="0.25">
      <c r="A181" t="s">
        <v>27</v>
      </c>
      <c r="B181" t="s">
        <v>213</v>
      </c>
      <c r="C181">
        <v>12.396353815308901</v>
      </c>
      <c r="D181">
        <v>4.3650093078613299</v>
      </c>
      <c r="E181">
        <v>6.9918701192364132</v>
      </c>
      <c r="F181">
        <v>60.25579534471035</v>
      </c>
      <c r="H181" s="1">
        <v>45936</v>
      </c>
      <c r="I181" t="s">
        <v>4</v>
      </c>
      <c r="J181">
        <v>45</v>
      </c>
      <c r="K181" s="2">
        <v>3.7</v>
      </c>
      <c r="L181">
        <v>1.9</v>
      </c>
      <c r="M181">
        <v>17</v>
      </c>
      <c r="N181">
        <v>15</v>
      </c>
      <c r="O181">
        <v>17</v>
      </c>
      <c r="P181">
        <v>17</v>
      </c>
      <c r="Q181">
        <v>17</v>
      </c>
      <c r="R181">
        <v>17</v>
      </c>
      <c r="S181">
        <v>63.1</v>
      </c>
      <c r="T181">
        <v>2025</v>
      </c>
    </row>
    <row r="182" spans="1:20" x14ac:dyDescent="0.25">
      <c r="A182" t="s">
        <v>27</v>
      </c>
      <c r="B182" t="s">
        <v>213</v>
      </c>
      <c r="C182">
        <v>12.396353815308901</v>
      </c>
      <c r="D182">
        <v>4.3650093078613299</v>
      </c>
      <c r="E182">
        <v>6.9918701192364132</v>
      </c>
      <c r="F182">
        <v>60.25579534471035</v>
      </c>
      <c r="H182" s="1">
        <v>45936</v>
      </c>
      <c r="I182" t="s">
        <v>5</v>
      </c>
      <c r="J182">
        <v>60</v>
      </c>
      <c r="K182" s="2">
        <v>4.9000000000000004</v>
      </c>
      <c r="L182">
        <v>4.0999999999999996</v>
      </c>
      <c r="M182">
        <v>17</v>
      </c>
      <c r="N182">
        <v>17</v>
      </c>
      <c r="O182">
        <v>17</v>
      </c>
      <c r="P182">
        <v>17</v>
      </c>
      <c r="Q182">
        <v>17</v>
      </c>
      <c r="R182">
        <v>17</v>
      </c>
      <c r="S182">
        <v>63.1</v>
      </c>
      <c r="T182">
        <v>2025</v>
      </c>
    </row>
    <row r="183" spans="1:20" x14ac:dyDescent="0.25">
      <c r="A183" t="s">
        <v>27</v>
      </c>
      <c r="B183" t="s">
        <v>213</v>
      </c>
      <c r="C183">
        <v>12.396353815308901</v>
      </c>
      <c r="D183">
        <v>4.3650093078613299</v>
      </c>
      <c r="E183">
        <v>6.9918701192364132</v>
      </c>
      <c r="F183">
        <v>60.25579534471035</v>
      </c>
      <c r="H183" s="1">
        <v>45936</v>
      </c>
      <c r="I183" t="s">
        <v>6</v>
      </c>
      <c r="J183">
        <v>75</v>
      </c>
      <c r="K183" s="2">
        <v>4</v>
      </c>
      <c r="L183">
        <v>3.7</v>
      </c>
      <c r="M183">
        <v>17</v>
      </c>
      <c r="N183">
        <v>17</v>
      </c>
      <c r="O183">
        <v>17</v>
      </c>
      <c r="P183">
        <v>17</v>
      </c>
      <c r="Q183">
        <v>17</v>
      </c>
      <c r="R183">
        <v>17</v>
      </c>
      <c r="S183">
        <v>63.1</v>
      </c>
      <c r="T183">
        <v>2025</v>
      </c>
    </row>
    <row r="184" spans="1:20" x14ac:dyDescent="0.25">
      <c r="A184" t="s">
        <v>27</v>
      </c>
      <c r="B184" t="s">
        <v>213</v>
      </c>
      <c r="C184">
        <v>12.396353815308901</v>
      </c>
      <c r="D184">
        <v>4.3650093078613299</v>
      </c>
      <c r="E184">
        <v>6.9918701192364132</v>
      </c>
      <c r="F184">
        <v>60.25579534471035</v>
      </c>
      <c r="H184" s="1">
        <v>45936</v>
      </c>
      <c r="I184" t="s">
        <v>7</v>
      </c>
      <c r="J184">
        <v>90</v>
      </c>
      <c r="K184" s="2">
        <v>9.8000000000000007</v>
      </c>
      <c r="L184">
        <v>1.4</v>
      </c>
      <c r="M184">
        <v>17</v>
      </c>
      <c r="N184">
        <v>17</v>
      </c>
      <c r="O184">
        <v>17</v>
      </c>
      <c r="P184">
        <v>17</v>
      </c>
      <c r="Q184">
        <v>17</v>
      </c>
      <c r="R184">
        <v>17</v>
      </c>
      <c r="S184">
        <v>63.1</v>
      </c>
      <c r="T184">
        <v>2025</v>
      </c>
    </row>
    <row r="185" spans="1:20" x14ac:dyDescent="0.25">
      <c r="A185" t="s">
        <v>27</v>
      </c>
      <c r="B185" t="s">
        <v>213</v>
      </c>
      <c r="C185">
        <v>12.396353815308901</v>
      </c>
      <c r="D185">
        <v>4.3650093078613299</v>
      </c>
      <c r="E185">
        <v>6.9918701192364132</v>
      </c>
      <c r="F185">
        <v>60.25579534471035</v>
      </c>
      <c r="H185" s="1">
        <v>45936</v>
      </c>
      <c r="I185" t="s">
        <v>8</v>
      </c>
      <c r="J185">
        <v>105</v>
      </c>
      <c r="K185" s="2">
        <v>6.7</v>
      </c>
      <c r="L185">
        <v>4.3</v>
      </c>
      <c r="M185">
        <v>17</v>
      </c>
      <c r="N185">
        <v>17</v>
      </c>
      <c r="O185">
        <v>17</v>
      </c>
      <c r="P185">
        <v>16</v>
      </c>
      <c r="Q185">
        <v>17</v>
      </c>
      <c r="R185">
        <v>17</v>
      </c>
      <c r="S185">
        <v>63.1</v>
      </c>
      <c r="T185">
        <v>2025</v>
      </c>
    </row>
    <row r="186" spans="1:20" x14ac:dyDescent="0.25">
      <c r="A186" t="s">
        <v>27</v>
      </c>
      <c r="B186" t="s">
        <v>213</v>
      </c>
      <c r="C186">
        <v>12.396353815308901</v>
      </c>
      <c r="D186">
        <v>4.3650093078613299</v>
      </c>
      <c r="E186">
        <v>6.9918701192364132</v>
      </c>
      <c r="F186">
        <v>60.25579534471035</v>
      </c>
      <c r="H186" s="1">
        <v>45936</v>
      </c>
      <c r="I186" t="s">
        <v>9</v>
      </c>
      <c r="J186">
        <v>120</v>
      </c>
      <c r="K186" s="2">
        <v>5.8</v>
      </c>
      <c r="L186">
        <v>4.4000000000000004</v>
      </c>
      <c r="M186">
        <v>17</v>
      </c>
      <c r="N186">
        <v>6</v>
      </c>
      <c r="O186">
        <v>13</v>
      </c>
      <c r="P186">
        <v>15</v>
      </c>
      <c r="Q186">
        <v>14</v>
      </c>
      <c r="R186">
        <v>17</v>
      </c>
      <c r="S186">
        <v>63.1</v>
      </c>
      <c r="T186">
        <v>2025</v>
      </c>
    </row>
    <row r="187" spans="1:20" x14ac:dyDescent="0.25">
      <c r="A187" t="s">
        <v>27</v>
      </c>
      <c r="B187" t="s">
        <v>213</v>
      </c>
      <c r="C187">
        <v>12.396353815308901</v>
      </c>
      <c r="D187">
        <v>4.3650093078613299</v>
      </c>
      <c r="E187">
        <v>6.9918701192364132</v>
      </c>
      <c r="F187">
        <v>60.25579534471035</v>
      </c>
      <c r="H187" s="1">
        <v>45936</v>
      </c>
      <c r="I187" t="s">
        <v>10</v>
      </c>
      <c r="J187">
        <v>135</v>
      </c>
      <c r="K187" s="2">
        <v>5.7</v>
      </c>
      <c r="L187">
        <v>3.3</v>
      </c>
      <c r="M187">
        <v>17</v>
      </c>
      <c r="N187">
        <v>16</v>
      </c>
      <c r="O187">
        <v>17</v>
      </c>
      <c r="P187">
        <v>17</v>
      </c>
      <c r="Q187">
        <v>17</v>
      </c>
      <c r="R187">
        <v>17</v>
      </c>
      <c r="S187">
        <v>63.1</v>
      </c>
      <c r="T187">
        <v>2025</v>
      </c>
    </row>
    <row r="188" spans="1:20" x14ac:dyDescent="0.25">
      <c r="A188" t="s">
        <v>27</v>
      </c>
      <c r="B188" t="s">
        <v>213</v>
      </c>
      <c r="C188">
        <v>12.396353815308901</v>
      </c>
      <c r="D188">
        <v>4.3650093078613299</v>
      </c>
      <c r="E188">
        <v>6.9918701192364132</v>
      </c>
      <c r="F188">
        <v>60.25579534471035</v>
      </c>
      <c r="H188" s="1">
        <v>45936</v>
      </c>
      <c r="I188" t="s">
        <v>11</v>
      </c>
      <c r="J188">
        <v>150</v>
      </c>
      <c r="K188" s="2">
        <v>4.8</v>
      </c>
      <c r="L188">
        <v>4.4000000000000004</v>
      </c>
      <c r="M188">
        <v>17</v>
      </c>
      <c r="N188">
        <v>15</v>
      </c>
      <c r="O188">
        <v>8</v>
      </c>
      <c r="P188">
        <v>11</v>
      </c>
      <c r="Q188">
        <v>17</v>
      </c>
      <c r="R188">
        <v>17</v>
      </c>
      <c r="S188">
        <v>63.1</v>
      </c>
      <c r="T188">
        <v>2025</v>
      </c>
    </row>
    <row r="189" spans="1:20" x14ac:dyDescent="0.25">
      <c r="A189" t="s">
        <v>28</v>
      </c>
      <c r="B189" t="s">
        <v>385</v>
      </c>
      <c r="C189">
        <v>9.5075485897143306</v>
      </c>
      <c r="D189">
        <v>29.315574645996101</v>
      </c>
      <c r="E189">
        <v>53.567040711641269</v>
      </c>
      <c r="F189">
        <v>11.0152586363256</v>
      </c>
      <c r="H189" s="1">
        <v>45938</v>
      </c>
      <c r="I189" t="s">
        <v>0</v>
      </c>
      <c r="J189">
        <v>0</v>
      </c>
      <c r="K189" s="2">
        <v>2.4</v>
      </c>
      <c r="L189">
        <v>2.5</v>
      </c>
      <c r="M189">
        <v>17</v>
      </c>
      <c r="N189">
        <v>17</v>
      </c>
      <c r="O189">
        <v>17</v>
      </c>
      <c r="P189">
        <v>17</v>
      </c>
      <c r="Q189">
        <v>17</v>
      </c>
      <c r="R189">
        <v>17</v>
      </c>
      <c r="S189">
        <v>53.4</v>
      </c>
      <c r="T189">
        <v>2025</v>
      </c>
    </row>
    <row r="190" spans="1:20" x14ac:dyDescent="0.25">
      <c r="A190" t="s">
        <v>28</v>
      </c>
      <c r="B190" t="s">
        <v>385</v>
      </c>
      <c r="C190">
        <v>9.5075485897143306</v>
      </c>
      <c r="D190">
        <v>29.315574645996101</v>
      </c>
      <c r="E190">
        <v>53.567040711641269</v>
      </c>
      <c r="F190">
        <v>11.0152586363256</v>
      </c>
      <c r="H190" s="1">
        <v>45938</v>
      </c>
      <c r="I190" t="s">
        <v>1</v>
      </c>
      <c r="J190">
        <v>15</v>
      </c>
      <c r="K190" s="2">
        <v>2.2000000000000002</v>
      </c>
      <c r="L190">
        <v>2.2000000000000002</v>
      </c>
      <c r="M190">
        <v>17</v>
      </c>
      <c r="N190">
        <v>17</v>
      </c>
      <c r="O190">
        <v>14</v>
      </c>
      <c r="P190">
        <v>17</v>
      </c>
      <c r="Q190">
        <v>14</v>
      </c>
      <c r="R190">
        <v>17</v>
      </c>
      <c r="S190">
        <v>53.4</v>
      </c>
      <c r="T190">
        <v>2025</v>
      </c>
    </row>
    <row r="191" spans="1:20" x14ac:dyDescent="0.25">
      <c r="A191" t="s">
        <v>28</v>
      </c>
      <c r="B191" t="s">
        <v>385</v>
      </c>
      <c r="C191">
        <v>9.5075485897143306</v>
      </c>
      <c r="D191">
        <v>29.315574645996101</v>
      </c>
      <c r="E191">
        <v>53.567040711641269</v>
      </c>
      <c r="F191">
        <v>11.0152586363256</v>
      </c>
      <c r="H191" s="1">
        <v>45938</v>
      </c>
      <c r="I191" t="s">
        <v>3</v>
      </c>
      <c r="J191">
        <v>30</v>
      </c>
      <c r="K191" s="2">
        <v>2</v>
      </c>
      <c r="L191">
        <v>1.5</v>
      </c>
      <c r="M191">
        <v>17</v>
      </c>
      <c r="N191">
        <v>17</v>
      </c>
      <c r="O191">
        <v>17</v>
      </c>
      <c r="P191">
        <v>17</v>
      </c>
      <c r="Q191">
        <v>17</v>
      </c>
      <c r="R191">
        <v>17</v>
      </c>
      <c r="S191">
        <v>53.4</v>
      </c>
      <c r="T191">
        <v>2025</v>
      </c>
    </row>
    <row r="192" spans="1:20" x14ac:dyDescent="0.25">
      <c r="A192" t="s">
        <v>28</v>
      </c>
      <c r="B192" t="s">
        <v>385</v>
      </c>
      <c r="C192">
        <v>9.5075485897143306</v>
      </c>
      <c r="D192">
        <v>29.315574645996101</v>
      </c>
      <c r="E192">
        <v>53.567040711641269</v>
      </c>
      <c r="F192">
        <v>11.0152586363256</v>
      </c>
      <c r="H192" s="1">
        <v>45938</v>
      </c>
      <c r="I192" t="s">
        <v>4</v>
      </c>
      <c r="J192">
        <v>45</v>
      </c>
      <c r="K192" s="2">
        <v>1.6</v>
      </c>
      <c r="L192">
        <v>0.9</v>
      </c>
      <c r="M192">
        <v>8</v>
      </c>
      <c r="N192">
        <v>10</v>
      </c>
      <c r="O192">
        <v>9</v>
      </c>
      <c r="P192">
        <v>16</v>
      </c>
      <c r="Q192">
        <v>1</v>
      </c>
      <c r="R192">
        <v>17</v>
      </c>
      <c r="S192">
        <v>53.4</v>
      </c>
      <c r="T192">
        <v>2025</v>
      </c>
    </row>
    <row r="193" spans="1:20" x14ac:dyDescent="0.25">
      <c r="A193" t="s">
        <v>28</v>
      </c>
      <c r="B193" t="s">
        <v>385</v>
      </c>
      <c r="C193">
        <v>9.5075485897143306</v>
      </c>
      <c r="D193">
        <v>29.315574645996101</v>
      </c>
      <c r="E193">
        <v>53.567040711641269</v>
      </c>
      <c r="F193">
        <v>11.0152586363256</v>
      </c>
      <c r="H193" s="1">
        <v>45938</v>
      </c>
      <c r="I193" t="s">
        <v>5</v>
      </c>
      <c r="J193">
        <v>60</v>
      </c>
      <c r="K193" s="2">
        <v>1.5</v>
      </c>
      <c r="L193">
        <v>1</v>
      </c>
      <c r="M193">
        <v>16</v>
      </c>
      <c r="N193">
        <v>17</v>
      </c>
      <c r="O193">
        <v>14</v>
      </c>
      <c r="P193">
        <v>17</v>
      </c>
      <c r="Q193">
        <v>16</v>
      </c>
      <c r="R193">
        <v>17</v>
      </c>
      <c r="S193">
        <v>53.4</v>
      </c>
      <c r="T193">
        <v>2025</v>
      </c>
    </row>
    <row r="194" spans="1:20" x14ac:dyDescent="0.25">
      <c r="A194" t="s">
        <v>28</v>
      </c>
      <c r="B194" t="s">
        <v>385</v>
      </c>
      <c r="C194">
        <v>9.5075485897143306</v>
      </c>
      <c r="D194">
        <v>29.315574645996101</v>
      </c>
      <c r="E194">
        <v>53.567040711641269</v>
      </c>
      <c r="F194">
        <v>11.0152586363256</v>
      </c>
      <c r="H194" s="1">
        <v>45938</v>
      </c>
      <c r="I194" t="s">
        <v>6</v>
      </c>
      <c r="J194">
        <v>75</v>
      </c>
      <c r="K194" s="2">
        <v>2.2000000000000002</v>
      </c>
      <c r="L194">
        <v>2</v>
      </c>
      <c r="M194">
        <v>17</v>
      </c>
      <c r="N194">
        <v>17</v>
      </c>
      <c r="O194">
        <v>17</v>
      </c>
      <c r="P194">
        <v>17</v>
      </c>
      <c r="Q194">
        <v>17</v>
      </c>
      <c r="R194">
        <v>17</v>
      </c>
      <c r="S194">
        <v>53.4</v>
      </c>
      <c r="T194">
        <v>2025</v>
      </c>
    </row>
    <row r="195" spans="1:20" x14ac:dyDescent="0.25">
      <c r="A195" t="s">
        <v>28</v>
      </c>
      <c r="B195" t="s">
        <v>385</v>
      </c>
      <c r="C195">
        <v>9.5075485897143306</v>
      </c>
      <c r="D195">
        <v>29.315574645996101</v>
      </c>
      <c r="E195">
        <v>53.567040711641269</v>
      </c>
      <c r="F195">
        <v>11.0152586363256</v>
      </c>
      <c r="H195" s="1">
        <v>45938</v>
      </c>
      <c r="I195" t="s">
        <v>7</v>
      </c>
      <c r="J195">
        <v>90</v>
      </c>
      <c r="K195" s="2">
        <v>1.8</v>
      </c>
      <c r="L195">
        <v>1.1000000000000001</v>
      </c>
      <c r="M195">
        <v>17</v>
      </c>
      <c r="N195">
        <v>17</v>
      </c>
      <c r="O195">
        <v>17</v>
      </c>
      <c r="P195">
        <v>17</v>
      </c>
      <c r="Q195">
        <v>17</v>
      </c>
      <c r="R195">
        <v>17</v>
      </c>
      <c r="S195">
        <v>53.4</v>
      </c>
      <c r="T195">
        <v>2025</v>
      </c>
    </row>
    <row r="196" spans="1:20" x14ac:dyDescent="0.25">
      <c r="A196" t="s">
        <v>28</v>
      </c>
      <c r="B196" t="s">
        <v>385</v>
      </c>
      <c r="C196">
        <v>9.5075485897143306</v>
      </c>
      <c r="D196">
        <v>29.315574645996101</v>
      </c>
      <c r="E196">
        <v>53.567040711641269</v>
      </c>
      <c r="F196">
        <v>11.0152586363256</v>
      </c>
      <c r="H196" s="1">
        <v>45938</v>
      </c>
      <c r="I196" t="s">
        <v>8</v>
      </c>
      <c r="J196">
        <v>105</v>
      </c>
      <c r="K196" s="2">
        <v>5.2</v>
      </c>
      <c r="L196">
        <v>2.7</v>
      </c>
      <c r="M196">
        <v>17</v>
      </c>
      <c r="N196">
        <v>17</v>
      </c>
      <c r="O196">
        <v>17</v>
      </c>
      <c r="P196">
        <v>16</v>
      </c>
      <c r="Q196">
        <v>17</v>
      </c>
      <c r="R196">
        <v>17</v>
      </c>
      <c r="S196">
        <v>53.4</v>
      </c>
      <c r="T196">
        <v>2025</v>
      </c>
    </row>
    <row r="197" spans="1:20" x14ac:dyDescent="0.25">
      <c r="A197" t="s">
        <v>28</v>
      </c>
      <c r="B197" t="s">
        <v>385</v>
      </c>
      <c r="C197">
        <v>9.5075485897143306</v>
      </c>
      <c r="D197">
        <v>29.315574645996101</v>
      </c>
      <c r="E197">
        <v>53.567040711641269</v>
      </c>
      <c r="F197">
        <v>11.0152586363256</v>
      </c>
      <c r="H197" s="1">
        <v>45938</v>
      </c>
      <c r="I197" t="s">
        <v>9</v>
      </c>
      <c r="J197">
        <v>120</v>
      </c>
      <c r="K197" s="2">
        <v>6.2</v>
      </c>
      <c r="L197">
        <v>2</v>
      </c>
      <c r="M197">
        <v>17</v>
      </c>
      <c r="N197">
        <v>17</v>
      </c>
      <c r="O197">
        <v>14</v>
      </c>
      <c r="P197">
        <v>14</v>
      </c>
      <c r="Q197">
        <v>17</v>
      </c>
      <c r="R197">
        <v>17</v>
      </c>
      <c r="S197">
        <v>53.4</v>
      </c>
      <c r="T197">
        <v>2025</v>
      </c>
    </row>
    <row r="198" spans="1:20" x14ac:dyDescent="0.25">
      <c r="A198" t="s">
        <v>28</v>
      </c>
      <c r="B198" t="s">
        <v>385</v>
      </c>
      <c r="C198">
        <v>9.5075485897143306</v>
      </c>
      <c r="D198">
        <v>29.315574645996101</v>
      </c>
      <c r="E198">
        <v>53.567040711641269</v>
      </c>
      <c r="F198">
        <v>11.0152586363256</v>
      </c>
      <c r="H198" s="1">
        <v>45938</v>
      </c>
      <c r="I198" t="s">
        <v>10</v>
      </c>
      <c r="J198">
        <v>135</v>
      </c>
      <c r="K198" s="2">
        <v>2.5</v>
      </c>
      <c r="L198">
        <v>1.9</v>
      </c>
      <c r="M198">
        <v>17</v>
      </c>
      <c r="N198">
        <v>16</v>
      </c>
      <c r="O198">
        <v>16</v>
      </c>
      <c r="P198">
        <v>17</v>
      </c>
      <c r="Q198">
        <v>17</v>
      </c>
      <c r="R198">
        <v>17</v>
      </c>
      <c r="S198">
        <v>53.4</v>
      </c>
      <c r="T198">
        <v>2025</v>
      </c>
    </row>
    <row r="199" spans="1:20" x14ac:dyDescent="0.25">
      <c r="A199" t="s">
        <v>28</v>
      </c>
      <c r="B199" t="s">
        <v>385</v>
      </c>
      <c r="C199">
        <v>9.5075485897143306</v>
      </c>
      <c r="D199">
        <v>29.315574645996101</v>
      </c>
      <c r="E199">
        <v>53.567040711641269</v>
      </c>
      <c r="F199">
        <v>11.0152586363256</v>
      </c>
      <c r="H199" s="1">
        <v>45938</v>
      </c>
      <c r="I199" t="s">
        <v>11</v>
      </c>
      <c r="J199">
        <v>150</v>
      </c>
      <c r="K199" s="2">
        <v>2.6</v>
      </c>
      <c r="L199">
        <v>1.7</v>
      </c>
      <c r="M199">
        <v>16</v>
      </c>
      <c r="N199">
        <v>15</v>
      </c>
      <c r="O199">
        <v>10</v>
      </c>
      <c r="P199">
        <v>13</v>
      </c>
      <c r="Q199">
        <v>17</v>
      </c>
      <c r="R199">
        <v>17</v>
      </c>
      <c r="S199">
        <v>53.4</v>
      </c>
      <c r="T199">
        <v>2025</v>
      </c>
    </row>
    <row r="200" spans="1:20" x14ac:dyDescent="0.25">
      <c r="A200" t="s">
        <v>29</v>
      </c>
      <c r="B200" t="s">
        <v>394</v>
      </c>
      <c r="C200">
        <v>55.634334471278898</v>
      </c>
      <c r="D200">
        <v>47.128700256347699</v>
      </c>
      <c r="E200">
        <v>79.098401963710799</v>
      </c>
      <c r="F200">
        <v>1.2710289796814329</v>
      </c>
      <c r="H200" s="1">
        <v>45938</v>
      </c>
      <c r="I200" t="s">
        <v>0</v>
      </c>
      <c r="J200">
        <v>0</v>
      </c>
      <c r="K200" s="2">
        <v>6.4</v>
      </c>
      <c r="L200">
        <v>5</v>
      </c>
      <c r="M200">
        <v>17</v>
      </c>
      <c r="N200">
        <v>2</v>
      </c>
      <c r="O200">
        <v>3</v>
      </c>
      <c r="P200">
        <v>6</v>
      </c>
      <c r="Q200">
        <v>4</v>
      </c>
      <c r="R200">
        <v>16</v>
      </c>
      <c r="S200">
        <v>45.6</v>
      </c>
      <c r="T200">
        <v>2025</v>
      </c>
    </row>
    <row r="201" spans="1:20" x14ac:dyDescent="0.25">
      <c r="A201" t="s">
        <v>29</v>
      </c>
      <c r="B201" t="s">
        <v>394</v>
      </c>
      <c r="C201">
        <v>55.634334471278898</v>
      </c>
      <c r="D201">
        <v>47.128700256347699</v>
      </c>
      <c r="E201">
        <v>79.098401963710799</v>
      </c>
      <c r="F201">
        <v>1.2710289796814329</v>
      </c>
      <c r="H201" s="1">
        <v>45938</v>
      </c>
      <c r="I201" t="s">
        <v>1</v>
      </c>
      <c r="J201">
        <v>15</v>
      </c>
      <c r="K201" s="2">
        <v>5.7</v>
      </c>
      <c r="L201">
        <v>5.6</v>
      </c>
      <c r="M201">
        <v>17</v>
      </c>
      <c r="N201">
        <v>16</v>
      </c>
      <c r="O201">
        <v>6</v>
      </c>
      <c r="P201">
        <v>8</v>
      </c>
      <c r="Q201">
        <v>17</v>
      </c>
      <c r="R201">
        <v>17</v>
      </c>
      <c r="S201">
        <v>45.6</v>
      </c>
      <c r="T201">
        <v>2025</v>
      </c>
    </row>
    <row r="202" spans="1:20" x14ac:dyDescent="0.25">
      <c r="A202" t="s">
        <v>29</v>
      </c>
      <c r="B202" t="s">
        <v>394</v>
      </c>
      <c r="C202">
        <v>55.634334471278898</v>
      </c>
      <c r="D202">
        <v>47.128700256347699</v>
      </c>
      <c r="E202">
        <v>79.098401963710799</v>
      </c>
      <c r="F202">
        <v>1.2710289796814329</v>
      </c>
      <c r="H202" s="1">
        <v>45938</v>
      </c>
      <c r="I202" t="s">
        <v>3</v>
      </c>
      <c r="J202">
        <v>30</v>
      </c>
      <c r="K202" s="2">
        <v>10.4</v>
      </c>
      <c r="L202">
        <v>6.1</v>
      </c>
      <c r="M202">
        <v>17</v>
      </c>
      <c r="N202">
        <v>17</v>
      </c>
      <c r="O202">
        <v>15</v>
      </c>
      <c r="P202">
        <v>17</v>
      </c>
      <c r="Q202">
        <v>16</v>
      </c>
      <c r="R202">
        <v>17</v>
      </c>
      <c r="S202">
        <v>45.6</v>
      </c>
      <c r="T202">
        <v>2025</v>
      </c>
    </row>
    <row r="203" spans="1:20" x14ac:dyDescent="0.25">
      <c r="A203" t="s">
        <v>29</v>
      </c>
      <c r="B203" t="s">
        <v>394</v>
      </c>
      <c r="C203">
        <v>55.634334471278898</v>
      </c>
      <c r="D203">
        <v>47.128700256347699</v>
      </c>
      <c r="E203">
        <v>79.098401963710799</v>
      </c>
      <c r="F203">
        <v>1.2710289796814329</v>
      </c>
      <c r="H203" s="1">
        <v>45938</v>
      </c>
      <c r="I203" t="s">
        <v>4</v>
      </c>
      <c r="J203">
        <v>45</v>
      </c>
      <c r="K203" s="2">
        <v>8.8000000000000007</v>
      </c>
      <c r="L203">
        <v>6.9</v>
      </c>
      <c r="M203">
        <v>17</v>
      </c>
      <c r="N203">
        <v>17</v>
      </c>
      <c r="O203">
        <v>16</v>
      </c>
      <c r="P203">
        <v>17</v>
      </c>
      <c r="Q203">
        <v>17</v>
      </c>
      <c r="R203">
        <v>17</v>
      </c>
      <c r="S203">
        <v>45.6</v>
      </c>
      <c r="T203">
        <v>2025</v>
      </c>
    </row>
    <row r="204" spans="1:20" x14ac:dyDescent="0.25">
      <c r="A204" t="s">
        <v>29</v>
      </c>
      <c r="B204" t="s">
        <v>394</v>
      </c>
      <c r="C204">
        <v>55.634334471278898</v>
      </c>
      <c r="D204">
        <v>47.128700256347699</v>
      </c>
      <c r="E204">
        <v>79.098401963710799</v>
      </c>
      <c r="F204">
        <v>1.2710289796814329</v>
      </c>
      <c r="H204" s="1">
        <v>45938</v>
      </c>
      <c r="I204" t="s">
        <v>5</v>
      </c>
      <c r="J204">
        <v>60</v>
      </c>
      <c r="K204" s="2">
        <v>6.9</v>
      </c>
      <c r="L204">
        <v>5.4</v>
      </c>
      <c r="M204">
        <v>17</v>
      </c>
      <c r="N204">
        <v>14</v>
      </c>
      <c r="O204">
        <v>17</v>
      </c>
      <c r="P204">
        <v>17</v>
      </c>
      <c r="Q204">
        <v>16</v>
      </c>
      <c r="R204">
        <v>17</v>
      </c>
      <c r="S204">
        <v>45.6</v>
      </c>
      <c r="T204">
        <v>2025</v>
      </c>
    </row>
    <row r="205" spans="1:20" x14ac:dyDescent="0.25">
      <c r="A205" t="s">
        <v>29</v>
      </c>
      <c r="B205" t="s">
        <v>394</v>
      </c>
      <c r="C205">
        <v>55.634334471278898</v>
      </c>
      <c r="D205">
        <v>47.128700256347699</v>
      </c>
      <c r="E205">
        <v>79.098401963710799</v>
      </c>
      <c r="F205">
        <v>1.2710289796814329</v>
      </c>
      <c r="H205" s="1">
        <v>45938</v>
      </c>
      <c r="I205" t="s">
        <v>6</v>
      </c>
      <c r="J205">
        <v>75</v>
      </c>
      <c r="K205" s="2">
        <v>6.8</v>
      </c>
      <c r="L205">
        <v>3.3</v>
      </c>
      <c r="M205">
        <v>17</v>
      </c>
      <c r="N205">
        <v>0</v>
      </c>
      <c r="O205">
        <v>2</v>
      </c>
      <c r="P205">
        <v>17</v>
      </c>
      <c r="Q205">
        <v>6</v>
      </c>
      <c r="R205">
        <v>17</v>
      </c>
      <c r="S205">
        <v>45.6</v>
      </c>
      <c r="T205">
        <v>2025</v>
      </c>
    </row>
    <row r="206" spans="1:20" x14ac:dyDescent="0.25">
      <c r="A206" t="s">
        <v>29</v>
      </c>
      <c r="B206" t="s">
        <v>394</v>
      </c>
      <c r="C206">
        <v>55.634334471278898</v>
      </c>
      <c r="D206">
        <v>47.128700256347699</v>
      </c>
      <c r="E206">
        <v>79.098401963710799</v>
      </c>
      <c r="F206">
        <v>1.2710289796814329</v>
      </c>
      <c r="H206" s="1">
        <v>45938</v>
      </c>
      <c r="I206" t="s">
        <v>7</v>
      </c>
      <c r="J206">
        <v>90</v>
      </c>
      <c r="K206" s="2">
        <v>7.4</v>
      </c>
      <c r="L206">
        <v>6.2</v>
      </c>
      <c r="M206">
        <v>17</v>
      </c>
      <c r="N206">
        <v>2</v>
      </c>
      <c r="O206">
        <v>6</v>
      </c>
      <c r="P206">
        <v>17</v>
      </c>
      <c r="Q206">
        <v>5</v>
      </c>
      <c r="R206">
        <v>17</v>
      </c>
      <c r="S206">
        <v>45.6</v>
      </c>
      <c r="T206">
        <v>2025</v>
      </c>
    </row>
    <row r="207" spans="1:20" x14ac:dyDescent="0.25">
      <c r="A207" t="s">
        <v>29</v>
      </c>
      <c r="B207" t="s">
        <v>394</v>
      </c>
      <c r="C207">
        <v>55.634334471278898</v>
      </c>
      <c r="D207">
        <v>47.128700256347699</v>
      </c>
      <c r="E207">
        <v>79.098401963710799</v>
      </c>
      <c r="F207">
        <v>1.2710289796814329</v>
      </c>
      <c r="H207" s="1">
        <v>45938</v>
      </c>
      <c r="I207" t="s">
        <v>8</v>
      </c>
      <c r="J207">
        <v>105</v>
      </c>
      <c r="K207" s="2">
        <v>6.2</v>
      </c>
      <c r="L207">
        <v>4.8</v>
      </c>
      <c r="M207">
        <v>17</v>
      </c>
      <c r="N207">
        <v>3</v>
      </c>
      <c r="O207">
        <v>4</v>
      </c>
      <c r="P207">
        <v>7</v>
      </c>
      <c r="Q207">
        <v>2</v>
      </c>
      <c r="R207">
        <v>16</v>
      </c>
      <c r="S207">
        <v>45.6</v>
      </c>
      <c r="T207">
        <v>2025</v>
      </c>
    </row>
    <row r="208" spans="1:20" x14ac:dyDescent="0.25">
      <c r="A208" t="s">
        <v>29</v>
      </c>
      <c r="B208" t="s">
        <v>394</v>
      </c>
      <c r="C208">
        <v>55.634334471278898</v>
      </c>
      <c r="D208">
        <v>47.128700256347699</v>
      </c>
      <c r="E208">
        <v>79.098401963710799</v>
      </c>
      <c r="F208">
        <v>1.2710289796814329</v>
      </c>
      <c r="H208" s="1">
        <v>45938</v>
      </c>
      <c r="I208" t="s">
        <v>9</v>
      </c>
      <c r="J208">
        <v>120</v>
      </c>
      <c r="K208" s="2">
        <v>8.6</v>
      </c>
      <c r="L208">
        <v>5.7</v>
      </c>
      <c r="M208">
        <v>17</v>
      </c>
      <c r="N208">
        <v>17</v>
      </c>
      <c r="O208">
        <v>13</v>
      </c>
      <c r="P208">
        <v>16</v>
      </c>
      <c r="Q208">
        <v>16</v>
      </c>
      <c r="R208">
        <v>17</v>
      </c>
      <c r="S208">
        <v>45.6</v>
      </c>
      <c r="T208">
        <v>2025</v>
      </c>
    </row>
    <row r="209" spans="1:20" x14ac:dyDescent="0.25">
      <c r="A209" t="s">
        <v>29</v>
      </c>
      <c r="B209" t="s">
        <v>394</v>
      </c>
      <c r="C209">
        <v>55.634334471278898</v>
      </c>
      <c r="D209">
        <v>47.128700256347699</v>
      </c>
      <c r="E209">
        <v>79.098401963710799</v>
      </c>
      <c r="F209">
        <v>1.2710289796814329</v>
      </c>
      <c r="H209" s="1">
        <v>45938</v>
      </c>
      <c r="I209" t="s">
        <v>10</v>
      </c>
      <c r="J209">
        <v>135</v>
      </c>
      <c r="K209" s="2">
        <v>7.7</v>
      </c>
      <c r="L209">
        <v>4.5</v>
      </c>
      <c r="M209">
        <v>17</v>
      </c>
      <c r="N209">
        <v>16</v>
      </c>
      <c r="O209">
        <v>12</v>
      </c>
      <c r="P209">
        <v>15</v>
      </c>
      <c r="Q209">
        <v>16</v>
      </c>
      <c r="R209">
        <v>17</v>
      </c>
      <c r="S209">
        <v>45.6</v>
      </c>
      <c r="T209">
        <v>2025</v>
      </c>
    </row>
    <row r="210" spans="1:20" x14ac:dyDescent="0.25">
      <c r="A210" t="s">
        <v>29</v>
      </c>
      <c r="B210" t="s">
        <v>394</v>
      </c>
      <c r="C210">
        <v>55.634334471278898</v>
      </c>
      <c r="D210">
        <v>47.128700256347699</v>
      </c>
      <c r="E210">
        <v>79.098401963710799</v>
      </c>
      <c r="F210">
        <v>1.2710289796814329</v>
      </c>
      <c r="H210" s="1">
        <v>45938</v>
      </c>
      <c r="I210" t="s">
        <v>11</v>
      </c>
      <c r="J210">
        <v>150</v>
      </c>
      <c r="K210" s="2">
        <v>7.6</v>
      </c>
      <c r="L210">
        <v>4.9000000000000004</v>
      </c>
      <c r="M210">
        <v>17</v>
      </c>
      <c r="N210">
        <v>7</v>
      </c>
      <c r="O210">
        <v>15</v>
      </c>
      <c r="P210">
        <v>12</v>
      </c>
      <c r="Q210">
        <v>16</v>
      </c>
      <c r="R210">
        <v>17</v>
      </c>
      <c r="S210">
        <v>45.6</v>
      </c>
      <c r="T210">
        <v>2025</v>
      </c>
    </row>
    <row r="211" spans="1:20" x14ac:dyDescent="0.25">
      <c r="A211" t="s">
        <v>30</v>
      </c>
      <c r="B211" t="s">
        <v>271</v>
      </c>
      <c r="C211">
        <v>4.1837016875987398</v>
      </c>
      <c r="D211">
        <v>29.496578216552699</v>
      </c>
      <c r="E211">
        <v>57.659875508397839</v>
      </c>
      <c r="F211">
        <v>21.1614167317748</v>
      </c>
      <c r="H211" s="1">
        <v>45944</v>
      </c>
      <c r="I211" t="s">
        <v>0</v>
      </c>
      <c r="J211">
        <v>0</v>
      </c>
      <c r="K211" s="2">
        <v>4.0999999999999996</v>
      </c>
      <c r="L211">
        <v>4.0999999999999996</v>
      </c>
      <c r="M211">
        <v>17</v>
      </c>
      <c r="N211">
        <v>16</v>
      </c>
      <c r="O211">
        <v>17</v>
      </c>
      <c r="P211">
        <v>17</v>
      </c>
      <c r="Q211">
        <v>17</v>
      </c>
      <c r="R211">
        <v>17</v>
      </c>
      <c r="S211">
        <v>28.2</v>
      </c>
      <c r="T211">
        <v>2025</v>
      </c>
    </row>
    <row r="212" spans="1:20" x14ac:dyDescent="0.25">
      <c r="A212" t="s">
        <v>30</v>
      </c>
      <c r="B212" t="s">
        <v>271</v>
      </c>
      <c r="C212">
        <v>4.1837016875987398</v>
      </c>
      <c r="D212">
        <v>29.496578216552699</v>
      </c>
      <c r="E212">
        <v>57.659875508397839</v>
      </c>
      <c r="F212">
        <v>21.1614167317748</v>
      </c>
      <c r="H212" s="1">
        <v>45944</v>
      </c>
      <c r="I212" t="s">
        <v>1</v>
      </c>
      <c r="J212">
        <v>15</v>
      </c>
      <c r="K212" s="2">
        <v>4.2</v>
      </c>
      <c r="L212">
        <v>4.5</v>
      </c>
      <c r="M212">
        <v>17</v>
      </c>
      <c r="N212">
        <v>15</v>
      </c>
      <c r="O212">
        <v>15</v>
      </c>
      <c r="P212">
        <v>17</v>
      </c>
      <c r="Q212">
        <v>16</v>
      </c>
      <c r="R212">
        <v>17</v>
      </c>
      <c r="S212">
        <v>28.2</v>
      </c>
      <c r="T212">
        <v>2025</v>
      </c>
    </row>
    <row r="213" spans="1:20" x14ac:dyDescent="0.25">
      <c r="A213" t="s">
        <v>30</v>
      </c>
      <c r="B213" t="s">
        <v>271</v>
      </c>
      <c r="C213">
        <v>4.1837016875987398</v>
      </c>
      <c r="D213">
        <v>29.496578216552699</v>
      </c>
      <c r="E213">
        <v>57.659875508397839</v>
      </c>
      <c r="F213">
        <v>21.1614167317748</v>
      </c>
      <c r="H213" s="1">
        <v>45944</v>
      </c>
      <c r="I213" t="s">
        <v>3</v>
      </c>
      <c r="J213">
        <v>30</v>
      </c>
      <c r="K213" s="2">
        <v>2.8</v>
      </c>
      <c r="L213">
        <v>2.4</v>
      </c>
      <c r="M213">
        <v>13</v>
      </c>
      <c r="N213">
        <v>17</v>
      </c>
      <c r="O213">
        <v>16</v>
      </c>
      <c r="P213">
        <v>17</v>
      </c>
      <c r="Q213">
        <v>16</v>
      </c>
      <c r="R213">
        <v>17</v>
      </c>
      <c r="S213">
        <v>28.2</v>
      </c>
      <c r="T213">
        <v>2025</v>
      </c>
    </row>
    <row r="214" spans="1:20" x14ac:dyDescent="0.25">
      <c r="A214" t="s">
        <v>30</v>
      </c>
      <c r="B214" t="s">
        <v>271</v>
      </c>
      <c r="C214">
        <v>4.1837016875987398</v>
      </c>
      <c r="D214">
        <v>29.496578216552699</v>
      </c>
      <c r="E214">
        <v>57.659875508397839</v>
      </c>
      <c r="F214">
        <v>21.1614167317748</v>
      </c>
      <c r="H214" s="1">
        <v>45944</v>
      </c>
      <c r="I214" t="s">
        <v>4</v>
      </c>
      <c r="J214">
        <v>45</v>
      </c>
      <c r="K214" s="2">
        <v>3.2</v>
      </c>
      <c r="L214">
        <v>2.2999999999999998</v>
      </c>
      <c r="M214">
        <v>12</v>
      </c>
      <c r="N214">
        <v>17</v>
      </c>
      <c r="O214">
        <v>17</v>
      </c>
      <c r="P214">
        <v>17</v>
      </c>
      <c r="Q214">
        <v>13</v>
      </c>
      <c r="R214">
        <v>17</v>
      </c>
      <c r="S214">
        <v>28.2</v>
      </c>
      <c r="T214">
        <v>2025</v>
      </c>
    </row>
    <row r="215" spans="1:20" x14ac:dyDescent="0.25">
      <c r="A215" t="s">
        <v>30</v>
      </c>
      <c r="B215" t="s">
        <v>271</v>
      </c>
      <c r="C215">
        <v>4.1837016875987398</v>
      </c>
      <c r="D215">
        <v>29.496578216552699</v>
      </c>
      <c r="E215">
        <v>57.659875508397839</v>
      </c>
      <c r="F215">
        <v>21.1614167317748</v>
      </c>
      <c r="H215" s="1">
        <v>45944</v>
      </c>
      <c r="I215" t="s">
        <v>5</v>
      </c>
      <c r="J215">
        <v>60</v>
      </c>
      <c r="K215" s="2">
        <v>6</v>
      </c>
      <c r="L215">
        <v>4.4000000000000004</v>
      </c>
      <c r="M215">
        <v>17</v>
      </c>
      <c r="N215">
        <v>16</v>
      </c>
      <c r="O215">
        <v>17</v>
      </c>
      <c r="P215">
        <v>17</v>
      </c>
      <c r="Q215">
        <v>17</v>
      </c>
      <c r="R215">
        <v>17</v>
      </c>
      <c r="S215">
        <v>28.2</v>
      </c>
      <c r="T215">
        <v>2025</v>
      </c>
    </row>
    <row r="216" spans="1:20" x14ac:dyDescent="0.25">
      <c r="A216" t="s">
        <v>30</v>
      </c>
      <c r="B216" t="s">
        <v>271</v>
      </c>
      <c r="C216">
        <v>4.1837016875987398</v>
      </c>
      <c r="D216">
        <v>29.496578216552699</v>
      </c>
      <c r="E216">
        <v>57.659875508397839</v>
      </c>
      <c r="F216">
        <v>21.1614167317748</v>
      </c>
      <c r="H216" s="1">
        <v>45944</v>
      </c>
      <c r="I216" t="s">
        <v>6</v>
      </c>
      <c r="J216">
        <v>75</v>
      </c>
      <c r="K216" s="2">
        <v>3.3</v>
      </c>
      <c r="L216">
        <v>3</v>
      </c>
      <c r="M216">
        <v>17</v>
      </c>
      <c r="N216">
        <v>16</v>
      </c>
      <c r="O216">
        <v>15</v>
      </c>
      <c r="P216">
        <v>17</v>
      </c>
      <c r="Q216">
        <v>14</v>
      </c>
      <c r="R216">
        <v>17</v>
      </c>
      <c r="S216">
        <v>28.2</v>
      </c>
      <c r="T216">
        <v>2025</v>
      </c>
    </row>
    <row r="217" spans="1:20" x14ac:dyDescent="0.25">
      <c r="A217" t="s">
        <v>30</v>
      </c>
      <c r="B217" t="s">
        <v>271</v>
      </c>
      <c r="C217">
        <v>4.1837016875987398</v>
      </c>
      <c r="D217">
        <v>29.496578216552699</v>
      </c>
      <c r="E217">
        <v>57.659875508397839</v>
      </c>
      <c r="F217">
        <v>21.1614167317748</v>
      </c>
      <c r="H217" s="1">
        <v>45944</v>
      </c>
      <c r="I217" t="s">
        <v>7</v>
      </c>
      <c r="J217">
        <v>90</v>
      </c>
      <c r="K217" s="2">
        <v>4</v>
      </c>
      <c r="L217">
        <v>2.7</v>
      </c>
      <c r="M217">
        <v>17</v>
      </c>
      <c r="N217">
        <v>14</v>
      </c>
      <c r="O217">
        <v>17</v>
      </c>
      <c r="P217">
        <v>17</v>
      </c>
      <c r="Q217">
        <v>17</v>
      </c>
      <c r="R217">
        <v>17</v>
      </c>
      <c r="S217">
        <v>28.2</v>
      </c>
      <c r="T217">
        <v>2025</v>
      </c>
    </row>
    <row r="218" spans="1:20" x14ac:dyDescent="0.25">
      <c r="A218" t="s">
        <v>30</v>
      </c>
      <c r="B218" t="s">
        <v>271</v>
      </c>
      <c r="C218">
        <v>4.1837016875987398</v>
      </c>
      <c r="D218">
        <v>29.496578216552699</v>
      </c>
      <c r="E218">
        <v>57.659875508397839</v>
      </c>
      <c r="F218">
        <v>21.1614167317748</v>
      </c>
      <c r="H218" s="1">
        <v>45944</v>
      </c>
      <c r="I218" t="s">
        <v>8</v>
      </c>
      <c r="J218">
        <v>105</v>
      </c>
      <c r="K218" s="2">
        <v>4</v>
      </c>
      <c r="L218">
        <v>1.8</v>
      </c>
      <c r="M218">
        <v>17</v>
      </c>
      <c r="N218">
        <v>17</v>
      </c>
      <c r="O218">
        <v>17</v>
      </c>
      <c r="P218">
        <v>17</v>
      </c>
      <c r="Q218">
        <v>17</v>
      </c>
      <c r="R218">
        <v>17</v>
      </c>
      <c r="S218">
        <v>28.2</v>
      </c>
      <c r="T218">
        <v>2025</v>
      </c>
    </row>
    <row r="219" spans="1:20" x14ac:dyDescent="0.25">
      <c r="A219" t="s">
        <v>30</v>
      </c>
      <c r="B219" t="s">
        <v>271</v>
      </c>
      <c r="C219">
        <v>4.1837016875987398</v>
      </c>
      <c r="D219">
        <v>29.496578216552699</v>
      </c>
      <c r="E219">
        <v>57.659875508397839</v>
      </c>
      <c r="F219">
        <v>21.1614167317748</v>
      </c>
      <c r="H219" s="1">
        <v>45944</v>
      </c>
      <c r="I219" t="s">
        <v>9</v>
      </c>
      <c r="J219">
        <v>120</v>
      </c>
      <c r="K219" s="2">
        <v>2.7</v>
      </c>
      <c r="L219">
        <v>2.2999999999999998</v>
      </c>
      <c r="M219">
        <v>17</v>
      </c>
      <c r="N219">
        <v>17</v>
      </c>
      <c r="O219">
        <v>17</v>
      </c>
      <c r="P219">
        <v>17</v>
      </c>
      <c r="Q219">
        <v>16</v>
      </c>
      <c r="R219">
        <v>17</v>
      </c>
      <c r="S219">
        <v>28.2</v>
      </c>
      <c r="T219">
        <v>2025</v>
      </c>
    </row>
    <row r="220" spans="1:20" x14ac:dyDescent="0.25">
      <c r="A220" t="s">
        <v>30</v>
      </c>
      <c r="B220" t="s">
        <v>271</v>
      </c>
      <c r="C220">
        <v>4.1837016875987398</v>
      </c>
      <c r="D220">
        <v>29.496578216552699</v>
      </c>
      <c r="E220">
        <v>57.659875508397839</v>
      </c>
      <c r="F220">
        <v>21.1614167317748</v>
      </c>
      <c r="H220" s="1">
        <v>45944</v>
      </c>
      <c r="I220" t="s">
        <v>10</v>
      </c>
      <c r="J220">
        <v>135</v>
      </c>
      <c r="K220" s="2">
        <v>4.0999999999999996</v>
      </c>
      <c r="L220">
        <v>4.2</v>
      </c>
      <c r="M220">
        <v>16</v>
      </c>
      <c r="N220">
        <v>17</v>
      </c>
      <c r="O220">
        <v>16</v>
      </c>
      <c r="P220">
        <v>17</v>
      </c>
      <c r="Q220">
        <v>17</v>
      </c>
      <c r="R220">
        <v>17</v>
      </c>
      <c r="S220">
        <v>28.2</v>
      </c>
      <c r="T220">
        <v>2025</v>
      </c>
    </row>
    <row r="221" spans="1:20" x14ac:dyDescent="0.25">
      <c r="A221" t="s">
        <v>30</v>
      </c>
      <c r="B221" t="s">
        <v>271</v>
      </c>
      <c r="C221">
        <v>4.1837016875987398</v>
      </c>
      <c r="D221">
        <v>29.496578216552699</v>
      </c>
      <c r="E221">
        <v>57.659875508397839</v>
      </c>
      <c r="F221">
        <v>21.1614167317748</v>
      </c>
      <c r="H221" s="1">
        <v>45944</v>
      </c>
      <c r="I221" t="s">
        <v>11</v>
      </c>
      <c r="J221">
        <v>150</v>
      </c>
      <c r="K221" s="2">
        <v>3.9</v>
      </c>
      <c r="L221">
        <v>3</v>
      </c>
      <c r="M221">
        <v>17</v>
      </c>
      <c r="N221">
        <v>17</v>
      </c>
      <c r="O221">
        <v>17</v>
      </c>
      <c r="P221">
        <v>17</v>
      </c>
      <c r="Q221">
        <v>17</v>
      </c>
      <c r="R221">
        <v>17</v>
      </c>
      <c r="S221">
        <v>28.2</v>
      </c>
      <c r="T221">
        <v>2025</v>
      </c>
    </row>
    <row r="222" spans="1:20" x14ac:dyDescent="0.25">
      <c r="A222" t="s">
        <v>31</v>
      </c>
      <c r="B222" t="s">
        <v>147</v>
      </c>
      <c r="C222">
        <v>13.7369804315269</v>
      </c>
      <c r="D222">
        <v>24.907655715942401</v>
      </c>
      <c r="E222">
        <v>46.221446525305495</v>
      </c>
      <c r="F222">
        <v>18.75310689210891</v>
      </c>
      <c r="H222" s="1">
        <v>45944</v>
      </c>
      <c r="I222" t="s">
        <v>0</v>
      </c>
      <c r="J222">
        <v>0</v>
      </c>
      <c r="K222" s="2">
        <v>2.4</v>
      </c>
      <c r="L222">
        <v>2</v>
      </c>
      <c r="M222">
        <v>11</v>
      </c>
      <c r="N222">
        <v>11</v>
      </c>
      <c r="O222">
        <v>17</v>
      </c>
      <c r="P222">
        <v>13</v>
      </c>
      <c r="Q222">
        <v>5</v>
      </c>
      <c r="R222">
        <v>15</v>
      </c>
      <c r="S222">
        <v>65.2</v>
      </c>
      <c r="T222">
        <v>2025</v>
      </c>
    </row>
    <row r="223" spans="1:20" x14ac:dyDescent="0.25">
      <c r="A223" t="s">
        <v>31</v>
      </c>
      <c r="B223" t="s">
        <v>147</v>
      </c>
      <c r="C223">
        <v>13.7369804315269</v>
      </c>
      <c r="D223">
        <v>24.907655715942401</v>
      </c>
      <c r="E223">
        <v>46.221446525305495</v>
      </c>
      <c r="F223">
        <v>18.75310689210891</v>
      </c>
      <c r="H223" s="1">
        <v>45944</v>
      </c>
      <c r="I223" t="s">
        <v>1</v>
      </c>
      <c r="J223">
        <v>15</v>
      </c>
      <c r="K223" s="2">
        <v>5.4</v>
      </c>
      <c r="L223">
        <v>2.8</v>
      </c>
      <c r="M223">
        <v>17</v>
      </c>
      <c r="N223">
        <v>12</v>
      </c>
      <c r="O223">
        <v>16</v>
      </c>
      <c r="P223">
        <v>17</v>
      </c>
      <c r="Q223">
        <v>13</v>
      </c>
      <c r="R223">
        <v>17</v>
      </c>
      <c r="S223">
        <v>65.2</v>
      </c>
      <c r="T223">
        <v>2025</v>
      </c>
    </row>
    <row r="224" spans="1:20" x14ac:dyDescent="0.25">
      <c r="A224" t="s">
        <v>31</v>
      </c>
      <c r="B224" t="s">
        <v>147</v>
      </c>
      <c r="C224">
        <v>13.7369804315269</v>
      </c>
      <c r="D224">
        <v>24.907655715942401</v>
      </c>
      <c r="E224">
        <v>46.221446525305495</v>
      </c>
      <c r="F224">
        <v>18.75310689210891</v>
      </c>
      <c r="H224" s="1">
        <v>45944</v>
      </c>
      <c r="I224" t="s">
        <v>3</v>
      </c>
      <c r="J224">
        <v>30</v>
      </c>
      <c r="K224" s="2">
        <v>4.4000000000000004</v>
      </c>
      <c r="L224">
        <v>3</v>
      </c>
      <c r="M224">
        <v>15</v>
      </c>
      <c r="N224">
        <v>16</v>
      </c>
      <c r="O224">
        <v>15</v>
      </c>
      <c r="P224">
        <v>15</v>
      </c>
      <c r="Q224">
        <v>15</v>
      </c>
      <c r="R224">
        <v>17</v>
      </c>
      <c r="S224">
        <v>65.2</v>
      </c>
      <c r="T224">
        <v>2025</v>
      </c>
    </row>
    <row r="225" spans="1:20" x14ac:dyDescent="0.25">
      <c r="A225" t="s">
        <v>31</v>
      </c>
      <c r="B225" t="s">
        <v>147</v>
      </c>
      <c r="C225">
        <v>13.7369804315269</v>
      </c>
      <c r="D225">
        <v>24.907655715942401</v>
      </c>
      <c r="E225">
        <v>46.221446525305495</v>
      </c>
      <c r="F225">
        <v>18.75310689210891</v>
      </c>
      <c r="H225" s="1">
        <v>45944</v>
      </c>
      <c r="I225" t="s">
        <v>4</v>
      </c>
      <c r="J225">
        <v>45</v>
      </c>
      <c r="K225" s="2">
        <v>5</v>
      </c>
      <c r="L225">
        <v>3.6</v>
      </c>
      <c r="M225">
        <v>16</v>
      </c>
      <c r="N225">
        <v>9</v>
      </c>
      <c r="O225">
        <v>15</v>
      </c>
      <c r="P225">
        <v>12</v>
      </c>
      <c r="Q225">
        <v>14</v>
      </c>
      <c r="R225">
        <v>16</v>
      </c>
      <c r="S225">
        <v>65.2</v>
      </c>
      <c r="T225">
        <v>2025</v>
      </c>
    </row>
    <row r="226" spans="1:20" x14ac:dyDescent="0.25">
      <c r="A226" t="s">
        <v>31</v>
      </c>
      <c r="B226" t="s">
        <v>147</v>
      </c>
      <c r="C226">
        <v>13.7369804315269</v>
      </c>
      <c r="D226">
        <v>24.907655715942401</v>
      </c>
      <c r="E226">
        <v>46.221446525305495</v>
      </c>
      <c r="F226">
        <v>18.75310689210891</v>
      </c>
      <c r="H226" s="1">
        <v>45944</v>
      </c>
      <c r="I226" t="s">
        <v>5</v>
      </c>
      <c r="J226">
        <v>60</v>
      </c>
      <c r="K226" s="2">
        <v>4.5999999999999996</v>
      </c>
      <c r="L226">
        <v>3.8</v>
      </c>
      <c r="M226">
        <v>17</v>
      </c>
      <c r="N226">
        <v>16</v>
      </c>
      <c r="O226">
        <v>15</v>
      </c>
      <c r="P226">
        <v>15</v>
      </c>
      <c r="Q226">
        <v>17</v>
      </c>
      <c r="R226">
        <v>17</v>
      </c>
      <c r="S226">
        <v>65.2</v>
      </c>
      <c r="T226">
        <v>2025</v>
      </c>
    </row>
    <row r="227" spans="1:20" x14ac:dyDescent="0.25">
      <c r="A227" t="s">
        <v>31</v>
      </c>
      <c r="B227" t="s">
        <v>147</v>
      </c>
      <c r="C227">
        <v>13.7369804315269</v>
      </c>
      <c r="D227">
        <v>24.907655715942401</v>
      </c>
      <c r="E227">
        <v>46.221446525305495</v>
      </c>
      <c r="F227">
        <v>18.75310689210891</v>
      </c>
      <c r="H227" s="1">
        <v>45944</v>
      </c>
      <c r="I227" t="s">
        <v>6</v>
      </c>
      <c r="J227">
        <v>75</v>
      </c>
      <c r="K227" s="2">
        <v>5.7</v>
      </c>
      <c r="L227">
        <v>5.0999999999999996</v>
      </c>
      <c r="M227">
        <v>17</v>
      </c>
      <c r="N227">
        <v>16</v>
      </c>
      <c r="O227">
        <v>17</v>
      </c>
      <c r="P227">
        <v>17</v>
      </c>
      <c r="Q227">
        <v>17</v>
      </c>
      <c r="R227">
        <v>16</v>
      </c>
      <c r="S227">
        <v>65.2</v>
      </c>
      <c r="T227">
        <v>2025</v>
      </c>
    </row>
    <row r="228" spans="1:20" x14ac:dyDescent="0.25">
      <c r="A228" t="s">
        <v>31</v>
      </c>
      <c r="B228" t="s">
        <v>147</v>
      </c>
      <c r="C228">
        <v>13.7369804315269</v>
      </c>
      <c r="D228">
        <v>24.907655715942401</v>
      </c>
      <c r="E228">
        <v>46.221446525305495</v>
      </c>
      <c r="F228">
        <v>18.75310689210891</v>
      </c>
      <c r="H228" s="1">
        <v>45944</v>
      </c>
      <c r="I228" t="s">
        <v>7</v>
      </c>
      <c r="J228">
        <v>90</v>
      </c>
      <c r="K228" s="2">
        <v>6.7</v>
      </c>
      <c r="L228">
        <v>3.5</v>
      </c>
      <c r="M228">
        <v>17</v>
      </c>
      <c r="N228">
        <v>16</v>
      </c>
      <c r="O228">
        <v>17</v>
      </c>
      <c r="P228">
        <v>13</v>
      </c>
      <c r="Q228">
        <v>17</v>
      </c>
      <c r="R228">
        <v>17</v>
      </c>
      <c r="S228">
        <v>65.2</v>
      </c>
      <c r="T228">
        <v>2025</v>
      </c>
    </row>
    <row r="229" spans="1:20" x14ac:dyDescent="0.25">
      <c r="A229" t="s">
        <v>31</v>
      </c>
      <c r="B229" t="s">
        <v>147</v>
      </c>
      <c r="C229">
        <v>13.7369804315269</v>
      </c>
      <c r="D229">
        <v>24.907655715942401</v>
      </c>
      <c r="E229">
        <v>46.221446525305495</v>
      </c>
      <c r="F229">
        <v>18.75310689210891</v>
      </c>
      <c r="H229" s="1">
        <v>45944</v>
      </c>
      <c r="I229" t="s">
        <v>8</v>
      </c>
      <c r="J229">
        <v>105</v>
      </c>
      <c r="K229" s="2">
        <v>8.1</v>
      </c>
      <c r="L229">
        <v>7.1</v>
      </c>
      <c r="M229">
        <v>17</v>
      </c>
      <c r="N229">
        <v>17</v>
      </c>
      <c r="O229">
        <v>16</v>
      </c>
      <c r="P229">
        <v>16</v>
      </c>
      <c r="Q229">
        <v>17</v>
      </c>
      <c r="R229">
        <v>16</v>
      </c>
      <c r="S229">
        <v>65.2</v>
      </c>
      <c r="T229">
        <v>2025</v>
      </c>
    </row>
    <row r="230" spans="1:20" x14ac:dyDescent="0.25">
      <c r="A230" t="s">
        <v>31</v>
      </c>
      <c r="B230" t="s">
        <v>147</v>
      </c>
      <c r="C230">
        <v>13.7369804315269</v>
      </c>
      <c r="D230">
        <v>24.907655715942401</v>
      </c>
      <c r="E230">
        <v>46.221446525305495</v>
      </c>
      <c r="F230">
        <v>18.75310689210891</v>
      </c>
      <c r="H230" s="1">
        <v>45944</v>
      </c>
      <c r="I230" t="s">
        <v>9</v>
      </c>
      <c r="J230">
        <v>120</v>
      </c>
      <c r="K230" s="2">
        <v>4.9000000000000004</v>
      </c>
      <c r="L230">
        <v>2.2999999999999998</v>
      </c>
      <c r="M230">
        <v>17</v>
      </c>
      <c r="N230">
        <v>14</v>
      </c>
      <c r="O230">
        <v>15</v>
      </c>
      <c r="P230">
        <v>13</v>
      </c>
      <c r="Q230">
        <v>16</v>
      </c>
      <c r="R230">
        <v>17</v>
      </c>
      <c r="S230">
        <v>65.2</v>
      </c>
      <c r="T230">
        <v>2025</v>
      </c>
    </row>
    <row r="231" spans="1:20" x14ac:dyDescent="0.25">
      <c r="A231" t="s">
        <v>31</v>
      </c>
      <c r="B231" t="s">
        <v>147</v>
      </c>
      <c r="C231">
        <v>13.7369804315269</v>
      </c>
      <c r="D231">
        <v>24.907655715942401</v>
      </c>
      <c r="E231">
        <v>46.221446525305495</v>
      </c>
      <c r="F231">
        <v>18.75310689210891</v>
      </c>
      <c r="H231" s="1">
        <v>45944</v>
      </c>
      <c r="I231" t="s">
        <v>10</v>
      </c>
      <c r="J231">
        <v>135</v>
      </c>
      <c r="K231" s="2">
        <v>4.8</v>
      </c>
      <c r="L231">
        <v>1.8</v>
      </c>
      <c r="M231">
        <v>16</v>
      </c>
      <c r="N231">
        <v>15</v>
      </c>
      <c r="O231">
        <v>14</v>
      </c>
      <c r="P231">
        <v>12</v>
      </c>
      <c r="Q231">
        <v>15</v>
      </c>
      <c r="R231">
        <v>17</v>
      </c>
      <c r="S231">
        <v>65.2</v>
      </c>
      <c r="T231">
        <v>2025</v>
      </c>
    </row>
    <row r="232" spans="1:20" x14ac:dyDescent="0.25">
      <c r="A232" t="s">
        <v>31</v>
      </c>
      <c r="B232" t="s">
        <v>147</v>
      </c>
      <c r="C232">
        <v>13.7369804315269</v>
      </c>
      <c r="D232">
        <v>24.907655715942401</v>
      </c>
      <c r="E232">
        <v>46.221446525305495</v>
      </c>
      <c r="F232">
        <v>18.75310689210891</v>
      </c>
      <c r="H232" s="1">
        <v>45944</v>
      </c>
      <c r="I232" t="s">
        <v>11</v>
      </c>
      <c r="J232">
        <v>150</v>
      </c>
      <c r="K232" s="2">
        <v>5.5</v>
      </c>
      <c r="L232">
        <v>4.9000000000000004</v>
      </c>
      <c r="M232">
        <v>17</v>
      </c>
      <c r="N232">
        <v>16</v>
      </c>
      <c r="O232">
        <v>16</v>
      </c>
      <c r="P232">
        <v>17</v>
      </c>
      <c r="Q232">
        <v>17</v>
      </c>
      <c r="R232">
        <v>17</v>
      </c>
      <c r="S232">
        <v>65.2</v>
      </c>
      <c r="T232">
        <v>2025</v>
      </c>
    </row>
    <row r="233" spans="1:20" x14ac:dyDescent="0.25">
      <c r="A233" t="s">
        <v>32</v>
      </c>
      <c r="B233" t="s">
        <v>197</v>
      </c>
      <c r="C233">
        <v>44.257084621764101</v>
      </c>
      <c r="D233">
        <v>25.600465774536101</v>
      </c>
      <c r="E233">
        <v>46.722680330276503</v>
      </c>
      <c r="F233">
        <v>18.009699136018749</v>
      </c>
      <c r="H233" s="1">
        <v>45939</v>
      </c>
      <c r="I233" t="s">
        <v>0</v>
      </c>
      <c r="J233">
        <v>0</v>
      </c>
      <c r="K233" s="2">
        <v>7.3</v>
      </c>
      <c r="L233">
        <v>6.2</v>
      </c>
      <c r="M233">
        <v>16</v>
      </c>
      <c r="N233">
        <v>17</v>
      </c>
      <c r="O233">
        <v>17</v>
      </c>
      <c r="P233">
        <v>17</v>
      </c>
      <c r="Q233">
        <v>16</v>
      </c>
      <c r="R233">
        <v>17</v>
      </c>
      <c r="S233">
        <v>66.7</v>
      </c>
      <c r="T233">
        <v>2025</v>
      </c>
    </row>
    <row r="234" spans="1:20" x14ac:dyDescent="0.25">
      <c r="A234" t="s">
        <v>32</v>
      </c>
      <c r="B234" t="s">
        <v>197</v>
      </c>
      <c r="C234">
        <v>44.257084621764101</v>
      </c>
      <c r="D234">
        <v>25.600465774536101</v>
      </c>
      <c r="E234">
        <v>46.722680330276503</v>
      </c>
      <c r="F234">
        <v>18.009699136018749</v>
      </c>
      <c r="H234" s="1">
        <v>45939</v>
      </c>
      <c r="I234" t="s">
        <v>1</v>
      </c>
      <c r="J234">
        <v>15</v>
      </c>
      <c r="K234" s="2">
        <v>7.5</v>
      </c>
      <c r="L234">
        <v>6.7</v>
      </c>
      <c r="M234">
        <v>7</v>
      </c>
      <c r="N234">
        <v>17</v>
      </c>
      <c r="O234">
        <v>17</v>
      </c>
      <c r="P234">
        <v>17</v>
      </c>
      <c r="Q234">
        <v>16</v>
      </c>
      <c r="R234">
        <v>17</v>
      </c>
      <c r="S234">
        <v>66.7</v>
      </c>
      <c r="T234">
        <v>2025</v>
      </c>
    </row>
    <row r="235" spans="1:20" x14ac:dyDescent="0.25">
      <c r="A235" t="s">
        <v>32</v>
      </c>
      <c r="B235" t="s">
        <v>197</v>
      </c>
      <c r="C235">
        <v>44.257084621764101</v>
      </c>
      <c r="D235">
        <v>25.600465774536101</v>
      </c>
      <c r="E235">
        <v>46.722680330276503</v>
      </c>
      <c r="F235">
        <v>18.009699136018749</v>
      </c>
      <c r="H235" s="1">
        <v>45939</v>
      </c>
      <c r="I235" t="s">
        <v>3</v>
      </c>
      <c r="J235">
        <v>30</v>
      </c>
      <c r="K235" s="2">
        <v>10.5</v>
      </c>
      <c r="L235">
        <v>9.5</v>
      </c>
      <c r="M235">
        <v>7</v>
      </c>
      <c r="N235">
        <v>3</v>
      </c>
      <c r="O235">
        <v>14</v>
      </c>
      <c r="P235">
        <v>14</v>
      </c>
      <c r="Q235">
        <v>4</v>
      </c>
      <c r="R235">
        <v>17</v>
      </c>
      <c r="S235">
        <v>66.7</v>
      </c>
      <c r="T235">
        <v>2025</v>
      </c>
    </row>
    <row r="236" spans="1:20" x14ac:dyDescent="0.25">
      <c r="A236" t="s">
        <v>32</v>
      </c>
      <c r="B236" t="s">
        <v>197</v>
      </c>
      <c r="C236">
        <v>44.257084621764101</v>
      </c>
      <c r="D236">
        <v>25.600465774536101</v>
      </c>
      <c r="E236">
        <v>46.722680330276503</v>
      </c>
      <c r="F236">
        <v>18.009699136018749</v>
      </c>
      <c r="H236" s="1">
        <v>45939</v>
      </c>
      <c r="I236" t="s">
        <v>4</v>
      </c>
      <c r="J236">
        <v>45</v>
      </c>
      <c r="K236" s="2">
        <v>16.3</v>
      </c>
      <c r="L236">
        <v>12.5</v>
      </c>
      <c r="M236">
        <v>13</v>
      </c>
      <c r="N236">
        <v>16</v>
      </c>
      <c r="O236">
        <v>11</v>
      </c>
      <c r="P236">
        <v>12</v>
      </c>
      <c r="Q236">
        <v>15</v>
      </c>
      <c r="R236">
        <v>17</v>
      </c>
      <c r="S236">
        <v>66.7</v>
      </c>
      <c r="T236">
        <v>2025</v>
      </c>
    </row>
    <row r="237" spans="1:20" x14ac:dyDescent="0.25">
      <c r="A237" t="s">
        <v>32</v>
      </c>
      <c r="B237" t="s">
        <v>197</v>
      </c>
      <c r="C237">
        <v>44.257084621764101</v>
      </c>
      <c r="D237">
        <v>25.600465774536101</v>
      </c>
      <c r="E237">
        <v>46.722680330276503</v>
      </c>
      <c r="F237">
        <v>18.009699136018749</v>
      </c>
      <c r="H237" s="1">
        <v>45939</v>
      </c>
      <c r="I237" t="s">
        <v>5</v>
      </c>
      <c r="J237">
        <v>60</v>
      </c>
      <c r="K237" s="2">
        <v>16.7</v>
      </c>
      <c r="L237">
        <v>12.4</v>
      </c>
      <c r="M237">
        <v>14</v>
      </c>
      <c r="N237">
        <v>1</v>
      </c>
      <c r="O237">
        <v>7</v>
      </c>
      <c r="P237">
        <v>8</v>
      </c>
      <c r="Q237">
        <v>3</v>
      </c>
      <c r="R237">
        <v>17</v>
      </c>
      <c r="S237">
        <v>66.7</v>
      </c>
      <c r="T237">
        <v>2025</v>
      </c>
    </row>
    <row r="238" spans="1:20" x14ac:dyDescent="0.25">
      <c r="A238" t="s">
        <v>32</v>
      </c>
      <c r="B238" t="s">
        <v>197</v>
      </c>
      <c r="C238">
        <v>44.257084621764101</v>
      </c>
      <c r="D238">
        <v>25.600465774536101</v>
      </c>
      <c r="E238">
        <v>46.722680330276503</v>
      </c>
      <c r="F238">
        <v>18.009699136018749</v>
      </c>
      <c r="H238" s="1">
        <v>45939</v>
      </c>
      <c r="I238" t="s">
        <v>6</v>
      </c>
      <c r="J238">
        <v>75</v>
      </c>
      <c r="K238" s="2">
        <v>12.9</v>
      </c>
      <c r="L238">
        <v>11.2</v>
      </c>
      <c r="M238">
        <v>1</v>
      </c>
      <c r="N238">
        <v>8</v>
      </c>
      <c r="O238">
        <v>5</v>
      </c>
      <c r="P238">
        <v>3</v>
      </c>
      <c r="Q238">
        <v>13</v>
      </c>
      <c r="R238">
        <v>17</v>
      </c>
      <c r="S238">
        <v>66.7</v>
      </c>
      <c r="T238">
        <v>2025</v>
      </c>
    </row>
    <row r="239" spans="1:20" x14ac:dyDescent="0.25">
      <c r="A239" t="s">
        <v>32</v>
      </c>
      <c r="B239" t="s">
        <v>197</v>
      </c>
      <c r="C239">
        <v>44.257084621764101</v>
      </c>
      <c r="D239">
        <v>25.600465774536101</v>
      </c>
      <c r="E239">
        <v>46.722680330276503</v>
      </c>
      <c r="F239">
        <v>18.009699136018749</v>
      </c>
      <c r="H239" s="1">
        <v>45939</v>
      </c>
      <c r="I239" t="s">
        <v>7</v>
      </c>
      <c r="J239">
        <v>90</v>
      </c>
      <c r="K239" s="2">
        <v>16.399999999999999</v>
      </c>
      <c r="L239">
        <v>15.1</v>
      </c>
      <c r="M239">
        <v>4</v>
      </c>
      <c r="N239">
        <v>12</v>
      </c>
      <c r="O239">
        <v>14</v>
      </c>
      <c r="P239">
        <v>15</v>
      </c>
      <c r="Q239">
        <v>10</v>
      </c>
      <c r="R239">
        <v>17</v>
      </c>
      <c r="S239">
        <v>66.7</v>
      </c>
      <c r="T239">
        <v>2025</v>
      </c>
    </row>
    <row r="240" spans="1:20" x14ac:dyDescent="0.25">
      <c r="A240" t="s">
        <v>32</v>
      </c>
      <c r="B240" t="s">
        <v>197</v>
      </c>
      <c r="C240">
        <v>44.257084621764101</v>
      </c>
      <c r="D240">
        <v>25.600465774536101</v>
      </c>
      <c r="E240">
        <v>46.722680330276503</v>
      </c>
      <c r="F240">
        <v>18.009699136018749</v>
      </c>
      <c r="H240" s="1">
        <v>45939</v>
      </c>
      <c r="I240" t="s">
        <v>8</v>
      </c>
      <c r="J240">
        <v>105</v>
      </c>
      <c r="K240" s="2">
        <v>11.6</v>
      </c>
      <c r="L240">
        <v>9.6999999999999993</v>
      </c>
      <c r="M240">
        <v>17</v>
      </c>
      <c r="N240">
        <v>10</v>
      </c>
      <c r="O240">
        <v>10</v>
      </c>
      <c r="P240">
        <v>9</v>
      </c>
      <c r="Q240">
        <v>17</v>
      </c>
      <c r="R240">
        <v>17</v>
      </c>
      <c r="S240">
        <v>66.7</v>
      </c>
      <c r="T240">
        <v>2025</v>
      </c>
    </row>
    <row r="241" spans="1:20" x14ac:dyDescent="0.25">
      <c r="A241" t="s">
        <v>32</v>
      </c>
      <c r="B241" t="s">
        <v>197</v>
      </c>
      <c r="C241">
        <v>44.257084621764101</v>
      </c>
      <c r="D241">
        <v>25.600465774536101</v>
      </c>
      <c r="E241">
        <v>46.722680330276503</v>
      </c>
      <c r="F241">
        <v>18.009699136018749</v>
      </c>
      <c r="H241" s="1">
        <v>45939</v>
      </c>
      <c r="I241" t="s">
        <v>9</v>
      </c>
      <c r="J241">
        <v>120</v>
      </c>
      <c r="K241" s="2">
        <v>12</v>
      </c>
      <c r="L241">
        <v>11.5</v>
      </c>
      <c r="M241">
        <v>3</v>
      </c>
      <c r="N241">
        <v>0</v>
      </c>
      <c r="O241">
        <v>0</v>
      </c>
      <c r="P241">
        <v>5</v>
      </c>
      <c r="Q241">
        <v>4</v>
      </c>
      <c r="R241">
        <v>17</v>
      </c>
      <c r="S241">
        <v>66.7</v>
      </c>
      <c r="T241">
        <v>2025</v>
      </c>
    </row>
    <row r="242" spans="1:20" x14ac:dyDescent="0.25">
      <c r="A242" t="s">
        <v>32</v>
      </c>
      <c r="B242" t="s">
        <v>197</v>
      </c>
      <c r="C242">
        <v>44.257084621764101</v>
      </c>
      <c r="D242">
        <v>25.600465774536101</v>
      </c>
      <c r="E242">
        <v>46.722680330276503</v>
      </c>
      <c r="F242">
        <v>18.009699136018749</v>
      </c>
      <c r="H242" s="1">
        <v>45939</v>
      </c>
      <c r="I242" t="s">
        <v>10</v>
      </c>
      <c r="J242">
        <v>135</v>
      </c>
      <c r="K242" s="2">
        <v>12.7</v>
      </c>
      <c r="L242">
        <v>11.6</v>
      </c>
      <c r="M242">
        <v>17</v>
      </c>
      <c r="N242">
        <v>16</v>
      </c>
      <c r="O242">
        <v>16</v>
      </c>
      <c r="P242">
        <v>17</v>
      </c>
      <c r="Q242">
        <v>17</v>
      </c>
      <c r="R242">
        <v>17</v>
      </c>
      <c r="S242">
        <v>66.7</v>
      </c>
      <c r="T242">
        <v>2025</v>
      </c>
    </row>
    <row r="243" spans="1:20" x14ac:dyDescent="0.25">
      <c r="A243" t="s">
        <v>32</v>
      </c>
      <c r="B243" t="s">
        <v>197</v>
      </c>
      <c r="C243">
        <v>44.257084621764101</v>
      </c>
      <c r="D243">
        <v>25.600465774536101</v>
      </c>
      <c r="E243">
        <v>46.722680330276503</v>
      </c>
      <c r="F243">
        <v>18.009699136018749</v>
      </c>
      <c r="H243" s="1">
        <v>45939</v>
      </c>
      <c r="I243" t="s">
        <v>11</v>
      </c>
      <c r="J243">
        <v>150</v>
      </c>
      <c r="K243" s="2">
        <v>14.1</v>
      </c>
      <c r="L243">
        <v>12.3</v>
      </c>
      <c r="M243">
        <v>17</v>
      </c>
      <c r="N243">
        <v>17</v>
      </c>
      <c r="O243">
        <v>12</v>
      </c>
      <c r="P243">
        <v>17</v>
      </c>
      <c r="Q243">
        <v>11</v>
      </c>
      <c r="R243">
        <v>17</v>
      </c>
      <c r="S243">
        <v>66.7</v>
      </c>
      <c r="T243">
        <v>2025</v>
      </c>
    </row>
    <row r="244" spans="1:20" x14ac:dyDescent="0.25">
      <c r="A244" t="s">
        <v>33</v>
      </c>
      <c r="B244" t="s">
        <v>157</v>
      </c>
      <c r="C244">
        <v>0.81405381620832695</v>
      </c>
      <c r="D244">
        <v>22.382097244262699</v>
      </c>
      <c r="E244">
        <v>46.184586733579593</v>
      </c>
      <c r="F244">
        <v>15.463969763368368</v>
      </c>
      <c r="H244" s="1">
        <v>45911</v>
      </c>
      <c r="I244" t="s">
        <v>0</v>
      </c>
      <c r="J244">
        <v>0</v>
      </c>
      <c r="K244" s="2">
        <v>2.2000000000000002</v>
      </c>
      <c r="L244">
        <v>1.7</v>
      </c>
      <c r="M244">
        <v>17</v>
      </c>
      <c r="N244">
        <v>17</v>
      </c>
      <c r="O244">
        <v>15</v>
      </c>
      <c r="P244">
        <v>17</v>
      </c>
      <c r="Q244">
        <v>15</v>
      </c>
      <c r="R244">
        <v>17</v>
      </c>
      <c r="S244">
        <v>40.200000000000003</v>
      </c>
      <c r="T244">
        <v>2025</v>
      </c>
    </row>
    <row r="245" spans="1:20" x14ac:dyDescent="0.25">
      <c r="A245" t="s">
        <v>33</v>
      </c>
      <c r="B245" t="s">
        <v>157</v>
      </c>
      <c r="C245">
        <v>0.81405381620832695</v>
      </c>
      <c r="D245">
        <v>22.382097244262699</v>
      </c>
      <c r="E245">
        <v>46.184586733579593</v>
      </c>
      <c r="F245">
        <v>15.463969763368368</v>
      </c>
      <c r="H245" s="1">
        <v>45911</v>
      </c>
      <c r="I245" t="s">
        <v>1</v>
      </c>
      <c r="J245">
        <v>15</v>
      </c>
      <c r="K245" s="2">
        <v>2</v>
      </c>
      <c r="L245">
        <v>1.5</v>
      </c>
      <c r="M245">
        <v>17</v>
      </c>
      <c r="N245">
        <v>17</v>
      </c>
      <c r="O245">
        <v>17</v>
      </c>
      <c r="P245">
        <v>17</v>
      </c>
      <c r="Q245">
        <v>17</v>
      </c>
      <c r="R245">
        <v>17</v>
      </c>
      <c r="S245">
        <v>40.200000000000003</v>
      </c>
      <c r="T245">
        <v>2025</v>
      </c>
    </row>
    <row r="246" spans="1:20" x14ac:dyDescent="0.25">
      <c r="A246" t="s">
        <v>33</v>
      </c>
      <c r="B246" t="s">
        <v>157</v>
      </c>
      <c r="C246">
        <v>0.81405381620832695</v>
      </c>
      <c r="D246">
        <v>22.382097244262699</v>
      </c>
      <c r="E246">
        <v>46.184586733579593</v>
      </c>
      <c r="F246">
        <v>15.463969763368368</v>
      </c>
      <c r="H246" s="1">
        <v>45911</v>
      </c>
      <c r="I246" t="s">
        <v>3</v>
      </c>
      <c r="J246">
        <v>30</v>
      </c>
      <c r="K246" s="2">
        <v>3.3</v>
      </c>
      <c r="L246">
        <v>2.5</v>
      </c>
      <c r="M246">
        <v>17</v>
      </c>
      <c r="N246">
        <v>17</v>
      </c>
      <c r="O246">
        <v>17</v>
      </c>
      <c r="P246">
        <v>17</v>
      </c>
      <c r="Q246">
        <v>17</v>
      </c>
      <c r="R246">
        <v>16</v>
      </c>
      <c r="S246">
        <v>40.200000000000003</v>
      </c>
      <c r="T246">
        <v>2025</v>
      </c>
    </row>
    <row r="247" spans="1:20" x14ac:dyDescent="0.25">
      <c r="A247" t="s">
        <v>33</v>
      </c>
      <c r="B247" t="s">
        <v>157</v>
      </c>
      <c r="C247">
        <v>0.81405381620832695</v>
      </c>
      <c r="D247">
        <v>22.382097244262699</v>
      </c>
      <c r="E247">
        <v>46.184586733579593</v>
      </c>
      <c r="F247">
        <v>15.463969763368368</v>
      </c>
      <c r="H247" s="1">
        <v>45911</v>
      </c>
      <c r="I247" t="s">
        <v>4</v>
      </c>
      <c r="J247">
        <v>45</v>
      </c>
      <c r="K247" s="2">
        <v>2.2999999999999998</v>
      </c>
      <c r="L247">
        <v>1.3</v>
      </c>
      <c r="M247">
        <v>17</v>
      </c>
      <c r="N247">
        <v>17</v>
      </c>
      <c r="O247">
        <v>17</v>
      </c>
      <c r="P247">
        <v>17</v>
      </c>
      <c r="Q247">
        <v>17</v>
      </c>
      <c r="R247">
        <v>17</v>
      </c>
      <c r="S247">
        <v>40.200000000000003</v>
      </c>
      <c r="T247">
        <v>2025</v>
      </c>
    </row>
    <row r="248" spans="1:20" x14ac:dyDescent="0.25">
      <c r="A248" t="s">
        <v>33</v>
      </c>
      <c r="B248" t="s">
        <v>157</v>
      </c>
      <c r="C248">
        <v>0.81405381620832695</v>
      </c>
      <c r="D248">
        <v>22.382097244262699</v>
      </c>
      <c r="E248">
        <v>46.184586733579593</v>
      </c>
      <c r="F248">
        <v>15.463969763368368</v>
      </c>
      <c r="H248" s="1">
        <v>45911</v>
      </c>
      <c r="I248" t="s">
        <v>5</v>
      </c>
      <c r="J248">
        <v>60</v>
      </c>
      <c r="K248" s="2">
        <v>2.8</v>
      </c>
      <c r="L248">
        <v>2.5</v>
      </c>
      <c r="M248">
        <v>17</v>
      </c>
      <c r="N248">
        <v>17</v>
      </c>
      <c r="O248">
        <v>17</v>
      </c>
      <c r="P248">
        <v>17</v>
      </c>
      <c r="Q248">
        <v>17</v>
      </c>
      <c r="R248">
        <v>17</v>
      </c>
      <c r="S248">
        <v>40.200000000000003</v>
      </c>
      <c r="T248">
        <v>2025</v>
      </c>
    </row>
    <row r="249" spans="1:20" x14ac:dyDescent="0.25">
      <c r="A249" t="s">
        <v>33</v>
      </c>
      <c r="B249" t="s">
        <v>157</v>
      </c>
      <c r="C249">
        <v>0.81405381620832695</v>
      </c>
      <c r="D249">
        <v>22.382097244262699</v>
      </c>
      <c r="E249">
        <v>46.184586733579593</v>
      </c>
      <c r="F249">
        <v>15.463969763368368</v>
      </c>
      <c r="H249" s="1">
        <v>45911</v>
      </c>
      <c r="I249" t="s">
        <v>6</v>
      </c>
      <c r="J249">
        <v>75</v>
      </c>
      <c r="K249" s="2">
        <v>1.9</v>
      </c>
      <c r="L249">
        <v>1.6</v>
      </c>
      <c r="M249">
        <v>17</v>
      </c>
      <c r="N249">
        <v>16</v>
      </c>
      <c r="O249">
        <v>17</v>
      </c>
      <c r="P249">
        <v>17</v>
      </c>
      <c r="Q249">
        <v>17</v>
      </c>
      <c r="R249">
        <v>17</v>
      </c>
      <c r="S249">
        <v>40.200000000000003</v>
      </c>
      <c r="T249">
        <v>2025</v>
      </c>
    </row>
    <row r="250" spans="1:20" x14ac:dyDescent="0.25">
      <c r="A250" t="s">
        <v>33</v>
      </c>
      <c r="B250" t="s">
        <v>157</v>
      </c>
      <c r="C250">
        <v>0.81405381620832695</v>
      </c>
      <c r="D250">
        <v>22.382097244262699</v>
      </c>
      <c r="E250">
        <v>46.184586733579593</v>
      </c>
      <c r="F250">
        <v>15.463969763368368</v>
      </c>
      <c r="H250" s="1">
        <v>45911</v>
      </c>
      <c r="I250" t="s">
        <v>7</v>
      </c>
      <c r="J250">
        <v>90</v>
      </c>
      <c r="K250" s="2">
        <v>3.1</v>
      </c>
      <c r="L250">
        <v>2</v>
      </c>
      <c r="M250">
        <v>17</v>
      </c>
      <c r="N250">
        <v>17</v>
      </c>
      <c r="O250">
        <v>17</v>
      </c>
      <c r="P250">
        <v>15</v>
      </c>
      <c r="Q250">
        <v>14</v>
      </c>
      <c r="R250">
        <v>17</v>
      </c>
      <c r="S250">
        <v>40.200000000000003</v>
      </c>
      <c r="T250">
        <v>2025</v>
      </c>
    </row>
    <row r="251" spans="1:20" x14ac:dyDescent="0.25">
      <c r="A251" t="s">
        <v>33</v>
      </c>
      <c r="B251" t="s">
        <v>157</v>
      </c>
      <c r="C251">
        <v>0.81405381620832695</v>
      </c>
      <c r="D251">
        <v>22.382097244262699</v>
      </c>
      <c r="E251">
        <v>46.184586733579593</v>
      </c>
      <c r="F251">
        <v>15.463969763368368</v>
      </c>
      <c r="H251" s="1">
        <v>45911</v>
      </c>
      <c r="I251" t="s">
        <v>8</v>
      </c>
      <c r="J251">
        <v>105</v>
      </c>
      <c r="K251" s="2">
        <v>2.2999999999999998</v>
      </c>
      <c r="L251">
        <v>1.9</v>
      </c>
      <c r="M251">
        <v>17</v>
      </c>
      <c r="N251">
        <v>17</v>
      </c>
      <c r="O251">
        <v>17</v>
      </c>
      <c r="P251">
        <v>16</v>
      </c>
      <c r="Q251">
        <v>17</v>
      </c>
      <c r="R251">
        <v>16</v>
      </c>
      <c r="S251">
        <v>40.200000000000003</v>
      </c>
      <c r="T251">
        <v>2025</v>
      </c>
    </row>
    <row r="252" spans="1:20" x14ac:dyDescent="0.25">
      <c r="A252" t="s">
        <v>33</v>
      </c>
      <c r="B252" t="s">
        <v>157</v>
      </c>
      <c r="C252">
        <v>0.81405381620832695</v>
      </c>
      <c r="D252">
        <v>22.382097244262699</v>
      </c>
      <c r="E252">
        <v>46.184586733579593</v>
      </c>
      <c r="F252">
        <v>15.463969763368368</v>
      </c>
      <c r="H252" s="1">
        <v>45911</v>
      </c>
      <c r="I252" t="s">
        <v>9</v>
      </c>
      <c r="J252">
        <v>120</v>
      </c>
      <c r="K252" s="2">
        <v>2.7</v>
      </c>
      <c r="L252">
        <v>2</v>
      </c>
      <c r="M252">
        <v>17</v>
      </c>
      <c r="N252">
        <v>17</v>
      </c>
      <c r="O252">
        <v>17</v>
      </c>
      <c r="P252">
        <v>17</v>
      </c>
      <c r="Q252">
        <v>17</v>
      </c>
      <c r="R252">
        <v>17</v>
      </c>
      <c r="S252">
        <v>40.200000000000003</v>
      </c>
      <c r="T252">
        <v>2025</v>
      </c>
    </row>
    <row r="253" spans="1:20" x14ac:dyDescent="0.25">
      <c r="A253" t="s">
        <v>33</v>
      </c>
      <c r="B253" t="s">
        <v>157</v>
      </c>
      <c r="C253">
        <v>0.81405381620832695</v>
      </c>
      <c r="D253">
        <v>22.382097244262699</v>
      </c>
      <c r="E253">
        <v>46.184586733579593</v>
      </c>
      <c r="F253">
        <v>15.463969763368368</v>
      </c>
      <c r="H253" s="1">
        <v>45911</v>
      </c>
      <c r="I253" t="s">
        <v>10</v>
      </c>
      <c r="J253">
        <v>135</v>
      </c>
      <c r="K253" s="2">
        <v>3.1</v>
      </c>
      <c r="L253">
        <v>2.2999999999999998</v>
      </c>
      <c r="M253">
        <v>17</v>
      </c>
      <c r="N253">
        <v>15</v>
      </c>
      <c r="O253">
        <v>17</v>
      </c>
      <c r="P253">
        <v>17</v>
      </c>
      <c r="Q253">
        <v>16</v>
      </c>
      <c r="R253">
        <v>17</v>
      </c>
      <c r="S253">
        <v>40.200000000000003</v>
      </c>
      <c r="T253">
        <v>2025</v>
      </c>
    </row>
    <row r="254" spans="1:20" x14ac:dyDescent="0.25">
      <c r="A254" t="s">
        <v>33</v>
      </c>
      <c r="B254" t="s">
        <v>157</v>
      </c>
      <c r="C254">
        <v>0.81405381620832695</v>
      </c>
      <c r="D254">
        <v>22.382097244262699</v>
      </c>
      <c r="E254">
        <v>46.184586733579593</v>
      </c>
      <c r="F254">
        <v>15.463969763368368</v>
      </c>
      <c r="H254" s="1">
        <v>45911</v>
      </c>
      <c r="I254" t="s">
        <v>11</v>
      </c>
      <c r="J254">
        <v>150</v>
      </c>
      <c r="K254" s="2">
        <v>2.9</v>
      </c>
      <c r="L254">
        <v>2.4</v>
      </c>
      <c r="M254">
        <v>17</v>
      </c>
      <c r="N254">
        <v>17</v>
      </c>
      <c r="O254">
        <v>15</v>
      </c>
      <c r="P254">
        <v>17</v>
      </c>
      <c r="Q254">
        <v>17</v>
      </c>
      <c r="R254">
        <v>17</v>
      </c>
      <c r="S254">
        <v>40.200000000000003</v>
      </c>
      <c r="T254">
        <v>2025</v>
      </c>
    </row>
    <row r="255" spans="1:20" x14ac:dyDescent="0.25">
      <c r="A255" t="s">
        <v>34</v>
      </c>
      <c r="B255" t="s">
        <v>289</v>
      </c>
      <c r="C255">
        <v>3.2219157519901001</v>
      </c>
      <c r="D255">
        <v>1.4255963563919101</v>
      </c>
      <c r="E255">
        <v>1.5046470274683088</v>
      </c>
      <c r="F255">
        <v>87.294991686940264</v>
      </c>
      <c r="H255" s="1">
        <v>45923</v>
      </c>
      <c r="I255" t="s">
        <v>0</v>
      </c>
      <c r="J255">
        <v>0</v>
      </c>
      <c r="K255" s="2">
        <v>1.9</v>
      </c>
      <c r="L255">
        <v>1.7</v>
      </c>
      <c r="M255">
        <v>17</v>
      </c>
      <c r="N255">
        <v>17</v>
      </c>
      <c r="O255">
        <v>16</v>
      </c>
      <c r="P255">
        <v>17</v>
      </c>
      <c r="Q255">
        <v>17</v>
      </c>
      <c r="R255">
        <v>17</v>
      </c>
      <c r="S255">
        <v>58.6</v>
      </c>
      <c r="T255">
        <v>2025</v>
      </c>
    </row>
    <row r="256" spans="1:20" x14ac:dyDescent="0.25">
      <c r="A256" t="s">
        <v>34</v>
      </c>
      <c r="B256" t="s">
        <v>289</v>
      </c>
      <c r="C256">
        <v>3.2219157519901001</v>
      </c>
      <c r="D256">
        <v>1.4255963563919101</v>
      </c>
      <c r="E256">
        <v>1.5046470274683088</v>
      </c>
      <c r="F256">
        <v>87.294991686940264</v>
      </c>
      <c r="H256" s="1">
        <v>45923</v>
      </c>
      <c r="I256" t="s">
        <v>1</v>
      </c>
      <c r="J256">
        <v>15</v>
      </c>
      <c r="K256" s="2">
        <v>2.1</v>
      </c>
      <c r="L256">
        <v>1.4</v>
      </c>
      <c r="M256">
        <v>17</v>
      </c>
      <c r="N256">
        <v>15</v>
      </c>
      <c r="O256">
        <v>17</v>
      </c>
      <c r="P256">
        <v>17</v>
      </c>
      <c r="Q256">
        <v>17</v>
      </c>
      <c r="R256">
        <v>17</v>
      </c>
      <c r="S256">
        <v>58.6</v>
      </c>
      <c r="T256">
        <v>2025</v>
      </c>
    </row>
    <row r="257" spans="1:20" x14ac:dyDescent="0.25">
      <c r="A257" t="s">
        <v>34</v>
      </c>
      <c r="B257" t="s">
        <v>289</v>
      </c>
      <c r="C257">
        <v>3.2219157519901001</v>
      </c>
      <c r="D257">
        <v>1.4255963563919101</v>
      </c>
      <c r="E257">
        <v>1.5046470274683088</v>
      </c>
      <c r="F257">
        <v>87.294991686940264</v>
      </c>
      <c r="H257" s="1">
        <v>45923</v>
      </c>
      <c r="I257" t="s">
        <v>3</v>
      </c>
      <c r="J257">
        <v>30</v>
      </c>
      <c r="K257" s="2">
        <v>2.9</v>
      </c>
      <c r="L257">
        <v>1.2</v>
      </c>
      <c r="M257">
        <v>17</v>
      </c>
      <c r="N257">
        <v>17</v>
      </c>
      <c r="O257">
        <v>17</v>
      </c>
      <c r="P257">
        <v>17</v>
      </c>
      <c r="Q257">
        <v>16</v>
      </c>
      <c r="R257">
        <v>17</v>
      </c>
      <c r="S257">
        <v>58.6</v>
      </c>
      <c r="T257">
        <v>2025</v>
      </c>
    </row>
    <row r="258" spans="1:20" x14ac:dyDescent="0.25">
      <c r="A258" t="s">
        <v>34</v>
      </c>
      <c r="B258" t="s">
        <v>289</v>
      </c>
      <c r="C258">
        <v>3.2219157519901001</v>
      </c>
      <c r="D258">
        <v>1.4255963563919101</v>
      </c>
      <c r="E258">
        <v>1.5046470274683088</v>
      </c>
      <c r="F258">
        <v>87.294991686940264</v>
      </c>
      <c r="H258" s="1">
        <v>45923</v>
      </c>
      <c r="I258" t="s">
        <v>4</v>
      </c>
      <c r="J258">
        <v>45</v>
      </c>
      <c r="K258" s="2">
        <v>2.2999999999999998</v>
      </c>
      <c r="L258">
        <v>1.6</v>
      </c>
      <c r="M258">
        <v>16</v>
      </c>
      <c r="N258">
        <v>17</v>
      </c>
      <c r="O258">
        <v>17</v>
      </c>
      <c r="P258">
        <v>17</v>
      </c>
      <c r="Q258">
        <v>16</v>
      </c>
      <c r="R258">
        <v>17</v>
      </c>
      <c r="S258">
        <v>58.6</v>
      </c>
      <c r="T258">
        <v>2025</v>
      </c>
    </row>
    <row r="259" spans="1:20" x14ac:dyDescent="0.25">
      <c r="A259" t="s">
        <v>34</v>
      </c>
      <c r="B259" t="s">
        <v>289</v>
      </c>
      <c r="C259">
        <v>3.2219157519901001</v>
      </c>
      <c r="D259">
        <v>1.4255963563919101</v>
      </c>
      <c r="E259">
        <v>1.5046470274683088</v>
      </c>
      <c r="F259">
        <v>87.294991686940264</v>
      </c>
      <c r="H259" s="1">
        <v>45923</v>
      </c>
      <c r="I259" t="s">
        <v>5</v>
      </c>
      <c r="J259">
        <v>60</v>
      </c>
      <c r="K259" s="2">
        <v>2.1</v>
      </c>
      <c r="L259">
        <v>1.8</v>
      </c>
      <c r="M259">
        <v>15</v>
      </c>
      <c r="N259">
        <v>17</v>
      </c>
      <c r="O259">
        <v>16</v>
      </c>
      <c r="P259">
        <v>17</v>
      </c>
      <c r="Q259">
        <v>12</v>
      </c>
      <c r="R259">
        <v>17</v>
      </c>
      <c r="S259">
        <v>58.6</v>
      </c>
      <c r="T259">
        <v>2025</v>
      </c>
    </row>
    <row r="260" spans="1:20" x14ac:dyDescent="0.25">
      <c r="A260" t="s">
        <v>34</v>
      </c>
      <c r="B260" t="s">
        <v>289</v>
      </c>
      <c r="C260">
        <v>3.2219157519901001</v>
      </c>
      <c r="D260">
        <v>1.4255963563919101</v>
      </c>
      <c r="E260">
        <v>1.5046470274683088</v>
      </c>
      <c r="F260">
        <v>87.294991686940264</v>
      </c>
      <c r="H260" s="1">
        <v>45923</v>
      </c>
      <c r="I260" t="s">
        <v>6</v>
      </c>
      <c r="J260">
        <v>75</v>
      </c>
      <c r="K260" s="2">
        <v>2.5</v>
      </c>
      <c r="L260">
        <v>0.7</v>
      </c>
      <c r="M260">
        <v>17</v>
      </c>
      <c r="N260">
        <v>17</v>
      </c>
      <c r="O260">
        <v>17</v>
      </c>
      <c r="P260">
        <v>17</v>
      </c>
      <c r="Q260">
        <v>17</v>
      </c>
      <c r="R260">
        <v>17</v>
      </c>
      <c r="S260">
        <v>58.6</v>
      </c>
      <c r="T260">
        <v>2025</v>
      </c>
    </row>
    <row r="261" spans="1:20" x14ac:dyDescent="0.25">
      <c r="A261" t="s">
        <v>34</v>
      </c>
      <c r="B261" t="s">
        <v>289</v>
      </c>
      <c r="C261">
        <v>3.2219157519901001</v>
      </c>
      <c r="D261">
        <v>1.4255963563919101</v>
      </c>
      <c r="E261">
        <v>1.5046470274683088</v>
      </c>
      <c r="F261">
        <v>87.294991686940264</v>
      </c>
      <c r="H261" s="1">
        <v>45923</v>
      </c>
      <c r="I261" t="s">
        <v>7</v>
      </c>
      <c r="J261">
        <v>90</v>
      </c>
      <c r="K261" s="2">
        <v>1.6</v>
      </c>
      <c r="L261">
        <v>1.5</v>
      </c>
      <c r="M261">
        <v>16</v>
      </c>
      <c r="N261">
        <v>17</v>
      </c>
      <c r="O261">
        <v>17</v>
      </c>
      <c r="P261">
        <v>17</v>
      </c>
      <c r="Q261">
        <v>17</v>
      </c>
      <c r="R261">
        <v>17</v>
      </c>
      <c r="S261">
        <v>58.6</v>
      </c>
      <c r="T261">
        <v>2025</v>
      </c>
    </row>
    <row r="262" spans="1:20" x14ac:dyDescent="0.25">
      <c r="A262" t="s">
        <v>34</v>
      </c>
      <c r="B262" t="s">
        <v>289</v>
      </c>
      <c r="C262">
        <v>3.2219157519901001</v>
      </c>
      <c r="D262">
        <v>1.4255963563919101</v>
      </c>
      <c r="E262">
        <v>1.5046470274683088</v>
      </c>
      <c r="F262">
        <v>87.294991686940264</v>
      </c>
      <c r="H262" s="1">
        <v>45923</v>
      </c>
      <c r="I262" t="s">
        <v>8</v>
      </c>
      <c r="J262">
        <v>105</v>
      </c>
      <c r="K262" s="2">
        <v>2.6</v>
      </c>
      <c r="L262">
        <v>2.2000000000000002</v>
      </c>
      <c r="M262">
        <v>17</v>
      </c>
      <c r="N262">
        <v>17</v>
      </c>
      <c r="O262">
        <v>16</v>
      </c>
      <c r="P262">
        <v>17</v>
      </c>
      <c r="Q262">
        <v>17</v>
      </c>
      <c r="R262">
        <v>17</v>
      </c>
      <c r="S262">
        <v>58.6</v>
      </c>
      <c r="T262">
        <v>2025</v>
      </c>
    </row>
    <row r="263" spans="1:20" x14ac:dyDescent="0.25">
      <c r="A263" t="s">
        <v>34</v>
      </c>
      <c r="B263" t="s">
        <v>289</v>
      </c>
      <c r="C263">
        <v>3.2219157519901001</v>
      </c>
      <c r="D263">
        <v>1.4255963563919101</v>
      </c>
      <c r="E263">
        <v>1.5046470274683088</v>
      </c>
      <c r="F263">
        <v>87.294991686940264</v>
      </c>
      <c r="H263" s="1">
        <v>45923</v>
      </c>
      <c r="I263" t="s">
        <v>9</v>
      </c>
      <c r="J263">
        <v>120</v>
      </c>
      <c r="K263" s="2">
        <v>1.9</v>
      </c>
      <c r="L263">
        <v>1.5</v>
      </c>
      <c r="M263">
        <v>17</v>
      </c>
      <c r="N263">
        <v>17</v>
      </c>
      <c r="O263">
        <v>16</v>
      </c>
      <c r="P263">
        <v>17</v>
      </c>
      <c r="Q263">
        <v>17</v>
      </c>
      <c r="R263">
        <v>15</v>
      </c>
      <c r="S263">
        <v>58.6</v>
      </c>
      <c r="T263">
        <v>2025</v>
      </c>
    </row>
    <row r="264" spans="1:20" x14ac:dyDescent="0.25">
      <c r="A264" t="s">
        <v>34</v>
      </c>
      <c r="B264" t="s">
        <v>289</v>
      </c>
      <c r="C264">
        <v>3.2219157519901001</v>
      </c>
      <c r="D264">
        <v>1.4255963563919101</v>
      </c>
      <c r="E264">
        <v>1.5046470274683088</v>
      </c>
      <c r="F264">
        <v>87.294991686940264</v>
      </c>
      <c r="H264" s="1">
        <v>45923</v>
      </c>
      <c r="I264" t="s">
        <v>10</v>
      </c>
      <c r="J264">
        <v>135</v>
      </c>
      <c r="K264" s="2">
        <v>2.1</v>
      </c>
      <c r="L264">
        <v>1.6</v>
      </c>
      <c r="M264">
        <v>17</v>
      </c>
      <c r="N264">
        <v>17</v>
      </c>
      <c r="O264">
        <v>17</v>
      </c>
      <c r="P264">
        <v>17</v>
      </c>
      <c r="Q264">
        <v>17</v>
      </c>
      <c r="R264">
        <v>17</v>
      </c>
      <c r="S264">
        <v>58.6</v>
      </c>
      <c r="T264">
        <v>2025</v>
      </c>
    </row>
    <row r="265" spans="1:20" x14ac:dyDescent="0.25">
      <c r="A265" t="s">
        <v>34</v>
      </c>
      <c r="B265" t="s">
        <v>289</v>
      </c>
      <c r="C265">
        <v>3.2219157519901001</v>
      </c>
      <c r="D265">
        <v>1.4255963563919101</v>
      </c>
      <c r="E265">
        <v>1.5046470274683088</v>
      </c>
      <c r="F265">
        <v>87.294991686940264</v>
      </c>
      <c r="H265" s="1">
        <v>45923</v>
      </c>
      <c r="I265" t="s">
        <v>11</v>
      </c>
      <c r="J265">
        <v>150</v>
      </c>
      <c r="K265" s="2">
        <v>2.2000000000000002</v>
      </c>
      <c r="L265">
        <v>2</v>
      </c>
      <c r="M265">
        <v>17</v>
      </c>
      <c r="N265">
        <v>17</v>
      </c>
      <c r="O265">
        <v>17</v>
      </c>
      <c r="P265">
        <v>17</v>
      </c>
      <c r="Q265">
        <v>17</v>
      </c>
      <c r="R265">
        <v>17</v>
      </c>
      <c r="S265">
        <v>58.6</v>
      </c>
      <c r="T265">
        <v>2025</v>
      </c>
    </row>
    <row r="266" spans="1:20" x14ac:dyDescent="0.25">
      <c r="A266" t="s">
        <v>35</v>
      </c>
      <c r="B266" t="s">
        <v>248</v>
      </c>
      <c r="C266">
        <v>7.9610711556714699</v>
      </c>
      <c r="D266">
        <v>6.1117019653320304</v>
      </c>
      <c r="E266">
        <v>9.4033856410533154</v>
      </c>
      <c r="F266">
        <v>55.487952381372416</v>
      </c>
      <c r="H266" s="1">
        <v>45924</v>
      </c>
      <c r="I266" t="s">
        <v>0</v>
      </c>
      <c r="J266">
        <v>0</v>
      </c>
      <c r="K266" s="2">
        <v>2.6</v>
      </c>
      <c r="L266">
        <v>2.5</v>
      </c>
      <c r="M266">
        <v>10</v>
      </c>
      <c r="N266">
        <v>15</v>
      </c>
      <c r="O266">
        <v>14</v>
      </c>
      <c r="P266">
        <v>15</v>
      </c>
      <c r="Q266">
        <v>12</v>
      </c>
      <c r="R266">
        <v>17</v>
      </c>
      <c r="S266">
        <v>37.799999999999997</v>
      </c>
      <c r="T266">
        <v>2025</v>
      </c>
    </row>
    <row r="267" spans="1:20" x14ac:dyDescent="0.25">
      <c r="A267" t="s">
        <v>35</v>
      </c>
      <c r="B267" t="s">
        <v>248</v>
      </c>
      <c r="C267">
        <v>7.9610711556714699</v>
      </c>
      <c r="D267">
        <v>6.1117019653320304</v>
      </c>
      <c r="E267">
        <v>9.4033856410533154</v>
      </c>
      <c r="F267">
        <v>55.487952381372416</v>
      </c>
      <c r="H267" s="1">
        <v>45924</v>
      </c>
      <c r="I267" t="s">
        <v>1</v>
      </c>
      <c r="J267">
        <v>15</v>
      </c>
      <c r="K267" s="2">
        <v>5.3</v>
      </c>
      <c r="L267">
        <v>2.2999999999999998</v>
      </c>
      <c r="M267">
        <v>17</v>
      </c>
      <c r="N267">
        <v>15</v>
      </c>
      <c r="O267">
        <v>15</v>
      </c>
      <c r="P267">
        <v>16</v>
      </c>
      <c r="Q267">
        <v>16</v>
      </c>
      <c r="R267">
        <v>14</v>
      </c>
      <c r="S267">
        <v>37.799999999999997</v>
      </c>
      <c r="T267">
        <v>2025</v>
      </c>
    </row>
    <row r="268" spans="1:20" x14ac:dyDescent="0.25">
      <c r="A268" t="s">
        <v>35</v>
      </c>
      <c r="B268" t="s">
        <v>248</v>
      </c>
      <c r="C268">
        <v>7.9610711556714699</v>
      </c>
      <c r="D268">
        <v>6.1117019653320304</v>
      </c>
      <c r="E268">
        <v>9.4033856410533154</v>
      </c>
      <c r="F268">
        <v>55.487952381372416</v>
      </c>
      <c r="H268" s="1">
        <v>45924</v>
      </c>
      <c r="I268" t="s">
        <v>3</v>
      </c>
      <c r="J268">
        <v>30</v>
      </c>
      <c r="K268" s="2">
        <v>4.7</v>
      </c>
      <c r="L268">
        <v>4.5</v>
      </c>
      <c r="M268">
        <v>17</v>
      </c>
      <c r="N268">
        <v>5</v>
      </c>
      <c r="O268">
        <v>14</v>
      </c>
      <c r="P268">
        <v>9</v>
      </c>
      <c r="Q268">
        <v>15</v>
      </c>
      <c r="R268">
        <v>14</v>
      </c>
      <c r="S268">
        <v>37.799999999999997</v>
      </c>
      <c r="T268">
        <v>2025</v>
      </c>
    </row>
    <row r="269" spans="1:20" x14ac:dyDescent="0.25">
      <c r="A269" t="s">
        <v>35</v>
      </c>
      <c r="B269" t="s">
        <v>248</v>
      </c>
      <c r="C269">
        <v>7.9610711556714699</v>
      </c>
      <c r="D269">
        <v>6.1117019653320304</v>
      </c>
      <c r="E269">
        <v>9.4033856410533154</v>
      </c>
      <c r="F269">
        <v>55.487952381372416</v>
      </c>
      <c r="H269" s="1">
        <v>45924</v>
      </c>
      <c r="I269" t="s">
        <v>4</v>
      </c>
      <c r="J269">
        <v>45</v>
      </c>
      <c r="K269" s="2">
        <v>3</v>
      </c>
      <c r="L269">
        <v>2.9</v>
      </c>
      <c r="M269">
        <v>6</v>
      </c>
      <c r="N269">
        <v>16</v>
      </c>
      <c r="O269">
        <v>10</v>
      </c>
      <c r="P269">
        <v>17</v>
      </c>
      <c r="Q269">
        <v>5</v>
      </c>
      <c r="R269">
        <v>17</v>
      </c>
      <c r="S269">
        <v>37.799999999999997</v>
      </c>
      <c r="T269">
        <v>2025</v>
      </c>
    </row>
    <row r="270" spans="1:20" x14ac:dyDescent="0.25">
      <c r="A270" t="s">
        <v>35</v>
      </c>
      <c r="B270" t="s">
        <v>248</v>
      </c>
      <c r="C270">
        <v>7.9610711556714699</v>
      </c>
      <c r="D270">
        <v>6.1117019653320304</v>
      </c>
      <c r="E270">
        <v>9.4033856410533154</v>
      </c>
      <c r="F270">
        <v>55.487952381372416</v>
      </c>
      <c r="H270" s="1">
        <v>45924</v>
      </c>
      <c r="I270" t="s">
        <v>5</v>
      </c>
      <c r="J270">
        <v>60</v>
      </c>
      <c r="K270" s="2">
        <v>5.9</v>
      </c>
      <c r="L270">
        <v>2.4</v>
      </c>
      <c r="M270">
        <v>17</v>
      </c>
      <c r="N270">
        <v>16</v>
      </c>
      <c r="O270">
        <v>15</v>
      </c>
      <c r="P270">
        <v>15</v>
      </c>
      <c r="Q270">
        <v>16</v>
      </c>
      <c r="R270">
        <v>17</v>
      </c>
      <c r="S270">
        <v>37.799999999999997</v>
      </c>
      <c r="T270">
        <v>2025</v>
      </c>
    </row>
    <row r="271" spans="1:20" x14ac:dyDescent="0.25">
      <c r="A271" t="s">
        <v>35</v>
      </c>
      <c r="B271" t="s">
        <v>248</v>
      </c>
      <c r="C271">
        <v>7.9610711556714699</v>
      </c>
      <c r="D271">
        <v>6.1117019653320304</v>
      </c>
      <c r="E271">
        <v>9.4033856410533154</v>
      </c>
      <c r="F271">
        <v>55.487952381372416</v>
      </c>
      <c r="H271" s="1">
        <v>45924</v>
      </c>
      <c r="I271" t="s">
        <v>6</v>
      </c>
      <c r="J271">
        <v>75</v>
      </c>
      <c r="K271" s="2">
        <v>3.3</v>
      </c>
      <c r="L271">
        <v>2</v>
      </c>
      <c r="M271">
        <v>16</v>
      </c>
      <c r="N271">
        <v>15</v>
      </c>
      <c r="O271">
        <v>16</v>
      </c>
      <c r="P271">
        <v>17</v>
      </c>
      <c r="Q271">
        <v>14</v>
      </c>
      <c r="R271">
        <v>17</v>
      </c>
      <c r="S271">
        <v>37.799999999999997</v>
      </c>
      <c r="T271">
        <v>2025</v>
      </c>
    </row>
    <row r="272" spans="1:20" x14ac:dyDescent="0.25">
      <c r="A272" t="s">
        <v>35</v>
      </c>
      <c r="B272" t="s">
        <v>248</v>
      </c>
      <c r="C272">
        <v>7.9610711556714699</v>
      </c>
      <c r="D272">
        <v>6.1117019653320304</v>
      </c>
      <c r="E272">
        <v>9.4033856410533154</v>
      </c>
      <c r="F272">
        <v>55.487952381372416</v>
      </c>
      <c r="H272" s="1">
        <v>45924</v>
      </c>
      <c r="I272" t="s">
        <v>7</v>
      </c>
      <c r="J272">
        <v>90</v>
      </c>
      <c r="K272" s="2">
        <v>2.2000000000000002</v>
      </c>
      <c r="L272">
        <v>1.7</v>
      </c>
      <c r="M272">
        <v>17</v>
      </c>
      <c r="N272">
        <v>14</v>
      </c>
      <c r="O272">
        <v>17</v>
      </c>
      <c r="P272">
        <v>15</v>
      </c>
      <c r="Q272">
        <v>15</v>
      </c>
      <c r="R272">
        <v>17</v>
      </c>
      <c r="S272">
        <v>37.799999999999997</v>
      </c>
      <c r="T272">
        <v>2025</v>
      </c>
    </row>
    <row r="273" spans="1:20" x14ac:dyDescent="0.25">
      <c r="A273" t="s">
        <v>35</v>
      </c>
      <c r="B273" t="s">
        <v>248</v>
      </c>
      <c r="C273">
        <v>7.9610711556714699</v>
      </c>
      <c r="D273">
        <v>6.1117019653320304</v>
      </c>
      <c r="E273">
        <v>9.4033856410533154</v>
      </c>
      <c r="F273">
        <v>55.487952381372416</v>
      </c>
      <c r="H273" s="1">
        <v>45924</v>
      </c>
      <c r="I273" t="s">
        <v>8</v>
      </c>
      <c r="J273">
        <v>105</v>
      </c>
      <c r="K273" s="2">
        <v>2.9</v>
      </c>
      <c r="L273">
        <v>2.1</v>
      </c>
      <c r="M273">
        <v>16</v>
      </c>
      <c r="N273">
        <v>15</v>
      </c>
      <c r="O273">
        <v>16</v>
      </c>
      <c r="P273">
        <v>17</v>
      </c>
      <c r="Q273">
        <v>16</v>
      </c>
      <c r="R273">
        <v>17</v>
      </c>
      <c r="S273">
        <v>37.799999999999997</v>
      </c>
      <c r="T273">
        <v>2025</v>
      </c>
    </row>
    <row r="274" spans="1:20" x14ac:dyDescent="0.25">
      <c r="A274" t="s">
        <v>35</v>
      </c>
      <c r="B274" t="s">
        <v>248</v>
      </c>
      <c r="C274">
        <v>7.9610711556714699</v>
      </c>
      <c r="D274">
        <v>6.1117019653320304</v>
      </c>
      <c r="E274">
        <v>9.4033856410533154</v>
      </c>
      <c r="F274">
        <v>55.487952381372416</v>
      </c>
      <c r="H274" s="1">
        <v>45924</v>
      </c>
      <c r="I274" t="s">
        <v>9</v>
      </c>
      <c r="J274">
        <v>120</v>
      </c>
      <c r="K274" s="2">
        <v>2.9</v>
      </c>
      <c r="L274">
        <v>1.2</v>
      </c>
      <c r="M274">
        <v>16</v>
      </c>
      <c r="N274">
        <v>12</v>
      </c>
      <c r="O274">
        <v>14</v>
      </c>
      <c r="P274">
        <v>16</v>
      </c>
      <c r="Q274">
        <v>15</v>
      </c>
      <c r="R274">
        <v>17</v>
      </c>
      <c r="S274">
        <v>37.799999999999997</v>
      </c>
      <c r="T274">
        <v>2025</v>
      </c>
    </row>
    <row r="275" spans="1:20" x14ac:dyDescent="0.25">
      <c r="A275" t="s">
        <v>35</v>
      </c>
      <c r="B275" t="s">
        <v>248</v>
      </c>
      <c r="C275">
        <v>7.9610711556714699</v>
      </c>
      <c r="D275">
        <v>6.1117019653320304</v>
      </c>
      <c r="E275">
        <v>9.4033856410533154</v>
      </c>
      <c r="F275">
        <v>55.487952381372416</v>
      </c>
      <c r="H275" s="1">
        <v>45924</v>
      </c>
      <c r="I275" t="s">
        <v>10</v>
      </c>
      <c r="J275">
        <v>135</v>
      </c>
      <c r="K275" s="2">
        <v>6</v>
      </c>
      <c r="L275">
        <v>2.8</v>
      </c>
      <c r="M275">
        <v>17</v>
      </c>
      <c r="N275">
        <v>14</v>
      </c>
      <c r="O275">
        <v>12</v>
      </c>
      <c r="P275">
        <v>17</v>
      </c>
      <c r="Q275">
        <v>11</v>
      </c>
      <c r="R275">
        <v>17</v>
      </c>
      <c r="S275">
        <v>37.799999999999997</v>
      </c>
      <c r="T275">
        <v>2025</v>
      </c>
    </row>
    <row r="276" spans="1:20" x14ac:dyDescent="0.25">
      <c r="A276" t="s">
        <v>35</v>
      </c>
      <c r="B276" t="s">
        <v>248</v>
      </c>
      <c r="C276">
        <v>7.9610711556714699</v>
      </c>
      <c r="D276">
        <v>6.1117019653320304</v>
      </c>
      <c r="E276">
        <v>9.4033856410533154</v>
      </c>
      <c r="F276">
        <v>55.487952381372416</v>
      </c>
      <c r="H276" s="1">
        <v>45924</v>
      </c>
      <c r="I276" t="s">
        <v>11</v>
      </c>
      <c r="J276">
        <v>150</v>
      </c>
      <c r="K276" s="2">
        <v>3.4</v>
      </c>
      <c r="L276">
        <v>2.5</v>
      </c>
      <c r="M276">
        <v>17</v>
      </c>
      <c r="N276">
        <v>17</v>
      </c>
      <c r="O276">
        <v>16</v>
      </c>
      <c r="P276">
        <v>17</v>
      </c>
      <c r="Q276">
        <v>17</v>
      </c>
      <c r="R276">
        <v>17</v>
      </c>
      <c r="S276">
        <v>37.799999999999997</v>
      </c>
      <c r="T276">
        <v>2025</v>
      </c>
    </row>
    <row r="277" spans="1:20" x14ac:dyDescent="0.25">
      <c r="A277" t="s">
        <v>36</v>
      </c>
      <c r="B277" t="s">
        <v>317</v>
      </c>
      <c r="C277">
        <v>2.3806298670764798</v>
      </c>
      <c r="D277">
        <v>2.8491477966308598</v>
      </c>
      <c r="E277">
        <v>3.4202075796201861</v>
      </c>
      <c r="F277">
        <v>62.183202710002632</v>
      </c>
      <c r="H277" s="1">
        <v>45924</v>
      </c>
      <c r="I277" t="s">
        <v>0</v>
      </c>
      <c r="J277">
        <v>0</v>
      </c>
      <c r="K277" s="2">
        <v>1.8</v>
      </c>
      <c r="L277">
        <v>1.2</v>
      </c>
      <c r="M277">
        <v>17</v>
      </c>
      <c r="N277">
        <v>17</v>
      </c>
      <c r="O277">
        <v>11</v>
      </c>
      <c r="P277">
        <v>14</v>
      </c>
      <c r="Q277">
        <v>17</v>
      </c>
      <c r="R277">
        <v>14</v>
      </c>
      <c r="S277">
        <v>59.1</v>
      </c>
      <c r="T277">
        <v>2025</v>
      </c>
    </row>
    <row r="278" spans="1:20" x14ac:dyDescent="0.25">
      <c r="A278" t="s">
        <v>36</v>
      </c>
      <c r="B278" t="s">
        <v>317</v>
      </c>
      <c r="C278">
        <v>2.3806298670764798</v>
      </c>
      <c r="D278">
        <v>2.8491477966308598</v>
      </c>
      <c r="E278">
        <v>3.4202075796201861</v>
      </c>
      <c r="F278">
        <v>62.183202710002632</v>
      </c>
      <c r="H278" s="1">
        <v>45924</v>
      </c>
      <c r="I278" t="s">
        <v>1</v>
      </c>
      <c r="J278">
        <v>15</v>
      </c>
      <c r="K278" s="2">
        <v>2.2000000000000002</v>
      </c>
      <c r="L278">
        <v>2</v>
      </c>
      <c r="M278">
        <v>17</v>
      </c>
      <c r="N278">
        <v>17</v>
      </c>
      <c r="O278">
        <v>17</v>
      </c>
      <c r="P278">
        <v>17</v>
      </c>
      <c r="Q278">
        <v>17</v>
      </c>
      <c r="R278">
        <v>17</v>
      </c>
      <c r="S278">
        <v>59.1</v>
      </c>
      <c r="T278">
        <v>2025</v>
      </c>
    </row>
    <row r="279" spans="1:20" x14ac:dyDescent="0.25">
      <c r="A279" t="s">
        <v>36</v>
      </c>
      <c r="B279" t="s">
        <v>317</v>
      </c>
      <c r="C279">
        <v>2.3806298670764798</v>
      </c>
      <c r="D279">
        <v>2.8491477966308598</v>
      </c>
      <c r="E279">
        <v>3.4202075796201861</v>
      </c>
      <c r="F279">
        <v>62.183202710002632</v>
      </c>
      <c r="H279" s="1">
        <v>45924</v>
      </c>
      <c r="I279" t="s">
        <v>3</v>
      </c>
      <c r="J279">
        <v>30</v>
      </c>
      <c r="K279" s="2">
        <v>2.5</v>
      </c>
      <c r="L279">
        <v>1.2</v>
      </c>
      <c r="M279">
        <v>17</v>
      </c>
      <c r="N279">
        <v>17</v>
      </c>
      <c r="O279">
        <v>17</v>
      </c>
      <c r="P279">
        <v>17</v>
      </c>
      <c r="Q279">
        <v>17</v>
      </c>
      <c r="R279">
        <v>17</v>
      </c>
      <c r="S279">
        <v>59.1</v>
      </c>
      <c r="T279">
        <v>2025</v>
      </c>
    </row>
    <row r="280" spans="1:20" x14ac:dyDescent="0.25">
      <c r="A280" t="s">
        <v>36</v>
      </c>
      <c r="B280" t="s">
        <v>317</v>
      </c>
      <c r="C280">
        <v>2.3806298670764798</v>
      </c>
      <c r="D280">
        <v>2.8491477966308598</v>
      </c>
      <c r="E280">
        <v>3.4202075796201861</v>
      </c>
      <c r="F280">
        <v>62.183202710002632</v>
      </c>
      <c r="H280" s="1">
        <v>45924</v>
      </c>
      <c r="I280" t="s">
        <v>4</v>
      </c>
      <c r="J280">
        <v>45</v>
      </c>
      <c r="K280" s="2">
        <v>2</v>
      </c>
      <c r="L280">
        <v>1.7</v>
      </c>
      <c r="M280">
        <v>17</v>
      </c>
      <c r="N280">
        <v>17</v>
      </c>
      <c r="O280">
        <v>17</v>
      </c>
      <c r="P280">
        <v>17</v>
      </c>
      <c r="Q280">
        <v>17</v>
      </c>
      <c r="R280">
        <v>17</v>
      </c>
      <c r="S280">
        <v>59.1</v>
      </c>
      <c r="T280">
        <v>2025</v>
      </c>
    </row>
    <row r="281" spans="1:20" x14ac:dyDescent="0.25">
      <c r="A281" t="s">
        <v>36</v>
      </c>
      <c r="B281" t="s">
        <v>317</v>
      </c>
      <c r="C281">
        <v>2.3806298670764798</v>
      </c>
      <c r="D281">
        <v>2.8491477966308598</v>
      </c>
      <c r="E281">
        <v>3.4202075796201861</v>
      </c>
      <c r="F281">
        <v>62.183202710002632</v>
      </c>
      <c r="H281" s="1">
        <v>45924</v>
      </c>
      <c r="I281" t="s">
        <v>5</v>
      </c>
      <c r="J281">
        <v>60</v>
      </c>
      <c r="K281" s="2">
        <v>1.8</v>
      </c>
      <c r="L281">
        <v>1.6</v>
      </c>
      <c r="M281">
        <v>17</v>
      </c>
      <c r="N281">
        <v>17</v>
      </c>
      <c r="O281">
        <v>16</v>
      </c>
      <c r="P281">
        <v>17</v>
      </c>
      <c r="Q281">
        <v>17</v>
      </c>
      <c r="R281">
        <v>17</v>
      </c>
      <c r="S281">
        <v>59.1</v>
      </c>
      <c r="T281">
        <v>2025</v>
      </c>
    </row>
    <row r="282" spans="1:20" x14ac:dyDescent="0.25">
      <c r="A282" t="s">
        <v>36</v>
      </c>
      <c r="B282" t="s">
        <v>317</v>
      </c>
      <c r="C282">
        <v>2.3806298670764798</v>
      </c>
      <c r="D282">
        <v>2.8491477966308598</v>
      </c>
      <c r="E282">
        <v>3.4202075796201861</v>
      </c>
      <c r="F282">
        <v>62.183202710002632</v>
      </c>
      <c r="H282" s="1">
        <v>45924</v>
      </c>
      <c r="I282" t="s">
        <v>6</v>
      </c>
      <c r="J282">
        <v>75</v>
      </c>
      <c r="K282" s="2">
        <v>2.2000000000000002</v>
      </c>
      <c r="L282">
        <v>2</v>
      </c>
      <c r="M282">
        <v>17</v>
      </c>
      <c r="N282">
        <v>17</v>
      </c>
      <c r="O282">
        <v>17</v>
      </c>
      <c r="P282">
        <v>17</v>
      </c>
      <c r="Q282">
        <v>17</v>
      </c>
      <c r="R282">
        <v>17</v>
      </c>
      <c r="S282">
        <v>59.1</v>
      </c>
      <c r="T282">
        <v>2025</v>
      </c>
    </row>
    <row r="283" spans="1:20" x14ac:dyDescent="0.25">
      <c r="A283" t="s">
        <v>36</v>
      </c>
      <c r="B283" t="s">
        <v>317</v>
      </c>
      <c r="C283">
        <v>2.3806298670764798</v>
      </c>
      <c r="D283">
        <v>2.8491477966308598</v>
      </c>
      <c r="E283">
        <v>3.4202075796201861</v>
      </c>
      <c r="F283">
        <v>62.183202710002632</v>
      </c>
      <c r="H283" s="1">
        <v>45924</v>
      </c>
      <c r="I283" t="s">
        <v>7</v>
      </c>
      <c r="J283">
        <v>90</v>
      </c>
      <c r="K283" s="2">
        <v>2.6</v>
      </c>
      <c r="L283">
        <v>1.5</v>
      </c>
      <c r="M283">
        <v>17</v>
      </c>
      <c r="N283">
        <v>17</v>
      </c>
      <c r="O283">
        <v>17</v>
      </c>
      <c r="P283">
        <v>17</v>
      </c>
      <c r="Q283">
        <v>17</v>
      </c>
      <c r="R283">
        <v>17</v>
      </c>
      <c r="S283">
        <v>59.1</v>
      </c>
      <c r="T283">
        <v>2025</v>
      </c>
    </row>
    <row r="284" spans="1:20" x14ac:dyDescent="0.25">
      <c r="A284" t="s">
        <v>36</v>
      </c>
      <c r="B284" t="s">
        <v>317</v>
      </c>
      <c r="C284">
        <v>2.3806298670764798</v>
      </c>
      <c r="D284">
        <v>2.8491477966308598</v>
      </c>
      <c r="E284">
        <v>3.4202075796201861</v>
      </c>
      <c r="F284">
        <v>62.183202710002632</v>
      </c>
      <c r="H284" s="1">
        <v>45924</v>
      </c>
      <c r="I284" t="s">
        <v>8</v>
      </c>
      <c r="J284">
        <v>105</v>
      </c>
      <c r="K284" s="2">
        <v>2.5</v>
      </c>
      <c r="L284">
        <v>2</v>
      </c>
      <c r="M284">
        <v>17</v>
      </c>
      <c r="N284">
        <v>17</v>
      </c>
      <c r="O284">
        <v>17</v>
      </c>
      <c r="P284">
        <v>16</v>
      </c>
      <c r="Q284">
        <v>17</v>
      </c>
      <c r="R284">
        <v>17</v>
      </c>
      <c r="S284">
        <v>59.1</v>
      </c>
      <c r="T284">
        <v>2025</v>
      </c>
    </row>
    <row r="285" spans="1:20" x14ac:dyDescent="0.25">
      <c r="A285" t="s">
        <v>36</v>
      </c>
      <c r="B285" t="s">
        <v>317</v>
      </c>
      <c r="C285">
        <v>2.3806298670764798</v>
      </c>
      <c r="D285">
        <v>2.8491477966308598</v>
      </c>
      <c r="E285">
        <v>3.4202075796201861</v>
      </c>
      <c r="F285">
        <v>62.183202710002632</v>
      </c>
      <c r="H285" s="1">
        <v>45924</v>
      </c>
      <c r="I285" t="s">
        <v>9</v>
      </c>
      <c r="J285">
        <v>120</v>
      </c>
      <c r="K285" s="2">
        <v>2.2000000000000002</v>
      </c>
      <c r="L285">
        <v>2.1</v>
      </c>
      <c r="M285">
        <v>17</v>
      </c>
      <c r="N285">
        <v>14</v>
      </c>
      <c r="O285">
        <v>17</v>
      </c>
      <c r="P285">
        <v>17</v>
      </c>
      <c r="Q285">
        <v>15</v>
      </c>
      <c r="R285">
        <v>17</v>
      </c>
      <c r="S285">
        <v>59.1</v>
      </c>
      <c r="T285">
        <v>2025</v>
      </c>
    </row>
    <row r="286" spans="1:20" x14ac:dyDescent="0.25">
      <c r="A286" t="s">
        <v>36</v>
      </c>
      <c r="B286" t="s">
        <v>317</v>
      </c>
      <c r="C286">
        <v>2.3806298670764798</v>
      </c>
      <c r="D286">
        <v>2.8491477966308598</v>
      </c>
      <c r="E286">
        <v>3.4202075796201861</v>
      </c>
      <c r="F286">
        <v>62.183202710002632</v>
      </c>
      <c r="H286" s="1">
        <v>45924</v>
      </c>
      <c r="I286" t="s">
        <v>10</v>
      </c>
      <c r="J286">
        <v>135</v>
      </c>
      <c r="K286" s="2">
        <v>2.5</v>
      </c>
      <c r="L286">
        <v>2.2000000000000002</v>
      </c>
      <c r="M286">
        <v>17</v>
      </c>
      <c r="N286">
        <v>17</v>
      </c>
      <c r="O286">
        <v>17</v>
      </c>
      <c r="P286">
        <v>17</v>
      </c>
      <c r="Q286">
        <v>17</v>
      </c>
      <c r="R286">
        <v>17</v>
      </c>
      <c r="S286">
        <v>59.1</v>
      </c>
      <c r="T286">
        <v>2025</v>
      </c>
    </row>
    <row r="287" spans="1:20" x14ac:dyDescent="0.25">
      <c r="A287" t="s">
        <v>36</v>
      </c>
      <c r="B287" t="s">
        <v>317</v>
      </c>
      <c r="C287">
        <v>2.3806298670764798</v>
      </c>
      <c r="D287">
        <v>2.8491477966308598</v>
      </c>
      <c r="E287">
        <v>3.4202075796201861</v>
      </c>
      <c r="F287">
        <v>62.183202710002632</v>
      </c>
      <c r="H287" s="1">
        <v>45924</v>
      </c>
      <c r="I287" t="s">
        <v>11</v>
      </c>
      <c r="J287">
        <v>150</v>
      </c>
      <c r="K287" s="2">
        <v>2.4</v>
      </c>
      <c r="L287">
        <v>2.1</v>
      </c>
      <c r="M287">
        <v>17</v>
      </c>
      <c r="N287">
        <v>17</v>
      </c>
      <c r="O287">
        <v>17</v>
      </c>
      <c r="P287">
        <v>17</v>
      </c>
      <c r="Q287">
        <v>17</v>
      </c>
      <c r="R287">
        <v>17</v>
      </c>
      <c r="S287">
        <v>59.1</v>
      </c>
      <c r="T287">
        <v>2025</v>
      </c>
    </row>
    <row r="288" spans="1:20" x14ac:dyDescent="0.25">
      <c r="A288" t="s">
        <v>37</v>
      </c>
      <c r="B288" t="s">
        <v>260</v>
      </c>
      <c r="C288">
        <v>8.3960449746188104</v>
      </c>
      <c r="D288">
        <v>20.157539367675799</v>
      </c>
      <c r="E288">
        <v>36.695523373782649</v>
      </c>
      <c r="F288">
        <v>20.013960078358679</v>
      </c>
      <c r="H288" s="1">
        <v>45918</v>
      </c>
      <c r="I288" t="s">
        <v>0</v>
      </c>
      <c r="J288">
        <v>0</v>
      </c>
      <c r="K288" s="2">
        <v>2.9</v>
      </c>
      <c r="L288">
        <v>2.5</v>
      </c>
      <c r="M288">
        <v>17</v>
      </c>
      <c r="N288">
        <v>17</v>
      </c>
      <c r="O288">
        <v>16</v>
      </c>
      <c r="P288">
        <v>16</v>
      </c>
      <c r="Q288">
        <v>17</v>
      </c>
      <c r="R288">
        <v>16</v>
      </c>
      <c r="S288">
        <v>67.099999999999994</v>
      </c>
      <c r="T288">
        <v>2025</v>
      </c>
    </row>
    <row r="289" spans="1:20" x14ac:dyDescent="0.25">
      <c r="A289" t="s">
        <v>37</v>
      </c>
      <c r="B289" t="s">
        <v>260</v>
      </c>
      <c r="C289">
        <v>8.3960449746188104</v>
      </c>
      <c r="D289">
        <v>20.157539367675799</v>
      </c>
      <c r="E289">
        <v>36.695523373782649</v>
      </c>
      <c r="F289">
        <v>20.013960078358679</v>
      </c>
      <c r="H289" s="1">
        <v>45918</v>
      </c>
      <c r="I289" t="s">
        <v>1</v>
      </c>
      <c r="J289">
        <v>15</v>
      </c>
      <c r="K289" s="2">
        <v>3.7</v>
      </c>
      <c r="L289">
        <v>3.5</v>
      </c>
      <c r="M289">
        <v>17</v>
      </c>
      <c r="N289">
        <v>17</v>
      </c>
      <c r="O289">
        <v>17</v>
      </c>
      <c r="P289">
        <v>16</v>
      </c>
      <c r="Q289">
        <v>17</v>
      </c>
      <c r="R289">
        <v>16</v>
      </c>
      <c r="S289">
        <v>67.099999999999994</v>
      </c>
      <c r="T289">
        <v>2025</v>
      </c>
    </row>
    <row r="290" spans="1:20" x14ac:dyDescent="0.25">
      <c r="A290" t="s">
        <v>37</v>
      </c>
      <c r="B290" t="s">
        <v>260</v>
      </c>
      <c r="C290">
        <v>8.3960449746188104</v>
      </c>
      <c r="D290">
        <v>20.157539367675799</v>
      </c>
      <c r="E290">
        <v>36.695523373782649</v>
      </c>
      <c r="F290">
        <v>20.013960078358679</v>
      </c>
      <c r="H290" s="1">
        <v>45918</v>
      </c>
      <c r="I290" t="s">
        <v>3</v>
      </c>
      <c r="J290">
        <v>30</v>
      </c>
      <c r="K290" s="2">
        <v>3.5</v>
      </c>
      <c r="L290">
        <v>3.1</v>
      </c>
      <c r="M290">
        <v>17</v>
      </c>
      <c r="N290">
        <v>17</v>
      </c>
      <c r="O290">
        <v>13</v>
      </c>
      <c r="P290">
        <v>17</v>
      </c>
      <c r="Q290">
        <v>17</v>
      </c>
      <c r="R290">
        <v>17</v>
      </c>
      <c r="S290">
        <v>67.099999999999994</v>
      </c>
      <c r="T290">
        <v>2025</v>
      </c>
    </row>
    <row r="291" spans="1:20" x14ac:dyDescent="0.25">
      <c r="A291" t="s">
        <v>37</v>
      </c>
      <c r="B291" t="s">
        <v>260</v>
      </c>
      <c r="C291">
        <v>8.3960449746188104</v>
      </c>
      <c r="D291">
        <v>20.157539367675799</v>
      </c>
      <c r="E291">
        <v>36.695523373782649</v>
      </c>
      <c r="F291">
        <v>20.013960078358679</v>
      </c>
      <c r="H291" s="1">
        <v>45918</v>
      </c>
      <c r="I291" t="s">
        <v>4</v>
      </c>
      <c r="J291">
        <v>45</v>
      </c>
      <c r="K291" s="2">
        <v>4.4000000000000004</v>
      </c>
      <c r="L291">
        <v>4</v>
      </c>
      <c r="M291">
        <v>17</v>
      </c>
      <c r="N291">
        <v>15</v>
      </c>
      <c r="O291">
        <v>14</v>
      </c>
      <c r="P291">
        <v>17</v>
      </c>
      <c r="Q291">
        <v>17</v>
      </c>
      <c r="R291">
        <v>17</v>
      </c>
      <c r="S291">
        <v>67.099999999999994</v>
      </c>
      <c r="T291">
        <v>2025</v>
      </c>
    </row>
    <row r="292" spans="1:20" x14ac:dyDescent="0.25">
      <c r="A292" t="s">
        <v>37</v>
      </c>
      <c r="B292" t="s">
        <v>260</v>
      </c>
      <c r="C292">
        <v>8.3960449746188104</v>
      </c>
      <c r="D292">
        <v>20.157539367675799</v>
      </c>
      <c r="E292">
        <v>36.695523373782649</v>
      </c>
      <c r="F292">
        <v>20.013960078358679</v>
      </c>
      <c r="H292" s="1">
        <v>45918</v>
      </c>
      <c r="I292" t="s">
        <v>5</v>
      </c>
      <c r="J292">
        <v>60</v>
      </c>
      <c r="K292" s="2">
        <v>4.4000000000000004</v>
      </c>
      <c r="L292">
        <v>3</v>
      </c>
      <c r="M292">
        <v>16</v>
      </c>
      <c r="N292">
        <v>17</v>
      </c>
      <c r="O292">
        <v>17</v>
      </c>
      <c r="P292">
        <v>17</v>
      </c>
      <c r="Q292">
        <v>17</v>
      </c>
      <c r="R292">
        <v>17</v>
      </c>
      <c r="S292">
        <v>67.099999999999994</v>
      </c>
      <c r="T292">
        <v>2025</v>
      </c>
    </row>
    <row r="293" spans="1:20" x14ac:dyDescent="0.25">
      <c r="A293" t="s">
        <v>37</v>
      </c>
      <c r="B293" t="s">
        <v>260</v>
      </c>
      <c r="C293">
        <v>8.3960449746188104</v>
      </c>
      <c r="D293">
        <v>20.157539367675799</v>
      </c>
      <c r="E293">
        <v>36.695523373782649</v>
      </c>
      <c r="F293">
        <v>20.013960078358679</v>
      </c>
      <c r="H293" s="1">
        <v>45918</v>
      </c>
      <c r="I293" t="s">
        <v>6</v>
      </c>
      <c r="J293">
        <v>75</v>
      </c>
      <c r="K293" s="2">
        <v>4.0999999999999996</v>
      </c>
      <c r="L293">
        <v>3.2</v>
      </c>
      <c r="M293">
        <v>17</v>
      </c>
      <c r="N293">
        <v>17</v>
      </c>
      <c r="O293">
        <v>17</v>
      </c>
      <c r="P293">
        <v>17</v>
      </c>
      <c r="Q293">
        <v>17</v>
      </c>
      <c r="R293">
        <v>17</v>
      </c>
      <c r="S293">
        <v>67.099999999999994</v>
      </c>
      <c r="T293">
        <v>2025</v>
      </c>
    </row>
    <row r="294" spans="1:20" x14ac:dyDescent="0.25">
      <c r="A294" t="s">
        <v>37</v>
      </c>
      <c r="B294" t="s">
        <v>260</v>
      </c>
      <c r="C294">
        <v>8.3960449746188104</v>
      </c>
      <c r="D294">
        <v>20.157539367675799</v>
      </c>
      <c r="E294">
        <v>36.695523373782649</v>
      </c>
      <c r="F294">
        <v>20.013960078358679</v>
      </c>
      <c r="H294" s="1">
        <v>45918</v>
      </c>
      <c r="I294" t="s">
        <v>7</v>
      </c>
      <c r="J294">
        <v>90</v>
      </c>
      <c r="K294" s="2">
        <v>4.7</v>
      </c>
      <c r="L294">
        <v>4.2</v>
      </c>
      <c r="M294">
        <v>17</v>
      </c>
      <c r="N294">
        <v>17</v>
      </c>
      <c r="O294">
        <v>17</v>
      </c>
      <c r="P294">
        <v>17</v>
      </c>
      <c r="Q294">
        <v>17</v>
      </c>
      <c r="R294">
        <v>17</v>
      </c>
      <c r="S294">
        <v>67.099999999999994</v>
      </c>
      <c r="T294">
        <v>2025</v>
      </c>
    </row>
    <row r="295" spans="1:20" x14ac:dyDescent="0.25">
      <c r="A295" t="s">
        <v>37</v>
      </c>
      <c r="B295" t="s">
        <v>260</v>
      </c>
      <c r="C295">
        <v>8.3960449746188104</v>
      </c>
      <c r="D295">
        <v>20.157539367675799</v>
      </c>
      <c r="E295">
        <v>36.695523373782649</v>
      </c>
      <c r="F295">
        <v>20.013960078358679</v>
      </c>
      <c r="H295" s="1">
        <v>45918</v>
      </c>
      <c r="I295" t="s">
        <v>8</v>
      </c>
      <c r="J295">
        <v>105</v>
      </c>
      <c r="K295" s="2">
        <v>5</v>
      </c>
      <c r="L295">
        <v>4.0999999999999996</v>
      </c>
      <c r="M295">
        <v>14</v>
      </c>
      <c r="N295">
        <v>16</v>
      </c>
      <c r="O295">
        <v>16</v>
      </c>
      <c r="P295">
        <v>17</v>
      </c>
      <c r="Q295">
        <v>8</v>
      </c>
      <c r="R295">
        <v>17</v>
      </c>
      <c r="S295">
        <v>67.099999999999994</v>
      </c>
      <c r="T295">
        <v>2025</v>
      </c>
    </row>
    <row r="296" spans="1:20" x14ac:dyDescent="0.25">
      <c r="A296" t="s">
        <v>37</v>
      </c>
      <c r="B296" t="s">
        <v>260</v>
      </c>
      <c r="C296">
        <v>8.3960449746188104</v>
      </c>
      <c r="D296">
        <v>20.157539367675799</v>
      </c>
      <c r="E296">
        <v>36.695523373782649</v>
      </c>
      <c r="F296">
        <v>20.013960078358679</v>
      </c>
      <c r="H296" s="1">
        <v>45918</v>
      </c>
      <c r="I296" t="s">
        <v>9</v>
      </c>
      <c r="J296">
        <v>120</v>
      </c>
      <c r="K296" s="2">
        <v>4.8</v>
      </c>
      <c r="L296">
        <v>4.2</v>
      </c>
      <c r="M296">
        <v>17</v>
      </c>
      <c r="N296">
        <v>17</v>
      </c>
      <c r="O296">
        <v>17</v>
      </c>
      <c r="P296">
        <v>17</v>
      </c>
      <c r="Q296">
        <v>17</v>
      </c>
      <c r="R296">
        <v>17</v>
      </c>
      <c r="S296">
        <v>67.099999999999994</v>
      </c>
      <c r="T296">
        <v>2025</v>
      </c>
    </row>
    <row r="297" spans="1:20" x14ac:dyDescent="0.25">
      <c r="A297" t="s">
        <v>37</v>
      </c>
      <c r="B297" t="s">
        <v>260</v>
      </c>
      <c r="C297">
        <v>8.3960449746188104</v>
      </c>
      <c r="D297">
        <v>20.157539367675799</v>
      </c>
      <c r="E297">
        <v>36.695523373782649</v>
      </c>
      <c r="F297">
        <v>20.013960078358679</v>
      </c>
      <c r="H297" s="1">
        <v>45918</v>
      </c>
      <c r="I297" t="s">
        <v>10</v>
      </c>
      <c r="J297">
        <v>135</v>
      </c>
      <c r="K297" s="2">
        <v>5.7</v>
      </c>
      <c r="L297">
        <v>5.5</v>
      </c>
      <c r="M297">
        <v>17</v>
      </c>
      <c r="N297">
        <v>17</v>
      </c>
      <c r="O297">
        <v>17</v>
      </c>
      <c r="P297">
        <v>17</v>
      </c>
      <c r="Q297">
        <v>17</v>
      </c>
      <c r="R297">
        <v>17</v>
      </c>
      <c r="S297">
        <v>67.099999999999994</v>
      </c>
      <c r="T297">
        <v>2025</v>
      </c>
    </row>
    <row r="298" spans="1:20" x14ac:dyDescent="0.25">
      <c r="A298" t="s">
        <v>37</v>
      </c>
      <c r="B298" t="s">
        <v>260</v>
      </c>
      <c r="C298">
        <v>8.3960449746188104</v>
      </c>
      <c r="D298">
        <v>20.157539367675799</v>
      </c>
      <c r="E298">
        <v>36.695523373782649</v>
      </c>
      <c r="F298">
        <v>20.013960078358679</v>
      </c>
      <c r="H298" s="1">
        <v>45918</v>
      </c>
      <c r="I298" t="s">
        <v>11</v>
      </c>
      <c r="J298">
        <v>150</v>
      </c>
      <c r="K298" s="2">
        <v>5.9</v>
      </c>
      <c r="L298">
        <v>5.2</v>
      </c>
      <c r="M298">
        <v>17</v>
      </c>
      <c r="N298">
        <v>17</v>
      </c>
      <c r="O298">
        <v>17</v>
      </c>
      <c r="P298">
        <v>17</v>
      </c>
      <c r="Q298">
        <v>17</v>
      </c>
      <c r="R298">
        <v>17</v>
      </c>
      <c r="S298">
        <v>67.099999999999994</v>
      </c>
      <c r="T298">
        <v>2025</v>
      </c>
    </row>
    <row r="299" spans="1:20" x14ac:dyDescent="0.25">
      <c r="A299" t="s">
        <v>38</v>
      </c>
      <c r="B299" t="s">
        <v>403</v>
      </c>
      <c r="C299">
        <v>4.5450014075576304</v>
      </c>
      <c r="D299">
        <v>26.596687316894499</v>
      </c>
      <c r="E299">
        <v>47.78301371261486</v>
      </c>
      <c r="F299">
        <v>10.829472122713916</v>
      </c>
      <c r="H299" s="1">
        <v>45917</v>
      </c>
      <c r="I299" t="s">
        <v>0</v>
      </c>
      <c r="J299">
        <v>0</v>
      </c>
      <c r="K299" s="2">
        <v>3.6</v>
      </c>
      <c r="L299">
        <v>2.8</v>
      </c>
      <c r="M299">
        <v>17</v>
      </c>
      <c r="N299">
        <v>16</v>
      </c>
      <c r="O299">
        <v>16</v>
      </c>
      <c r="P299">
        <v>17</v>
      </c>
      <c r="Q299">
        <v>16</v>
      </c>
      <c r="R299">
        <v>17</v>
      </c>
      <c r="S299">
        <v>56.7</v>
      </c>
      <c r="T299">
        <v>2025</v>
      </c>
    </row>
    <row r="300" spans="1:20" x14ac:dyDescent="0.25">
      <c r="A300" t="s">
        <v>38</v>
      </c>
      <c r="B300" t="s">
        <v>403</v>
      </c>
      <c r="C300">
        <v>4.5450014075576304</v>
      </c>
      <c r="D300">
        <v>26.596687316894499</v>
      </c>
      <c r="E300">
        <v>47.78301371261486</v>
      </c>
      <c r="F300">
        <v>10.829472122713916</v>
      </c>
      <c r="H300" s="1">
        <v>45917</v>
      </c>
      <c r="I300" t="s">
        <v>1</v>
      </c>
      <c r="J300">
        <v>15</v>
      </c>
      <c r="K300" s="2">
        <v>3.3</v>
      </c>
      <c r="L300">
        <v>1.2</v>
      </c>
      <c r="M300">
        <v>17</v>
      </c>
      <c r="N300">
        <v>17</v>
      </c>
      <c r="O300">
        <v>17</v>
      </c>
      <c r="P300">
        <v>17</v>
      </c>
      <c r="Q300">
        <v>17</v>
      </c>
      <c r="R300">
        <v>17</v>
      </c>
      <c r="S300">
        <v>56.7</v>
      </c>
      <c r="T300">
        <v>2025</v>
      </c>
    </row>
    <row r="301" spans="1:20" x14ac:dyDescent="0.25">
      <c r="A301" t="s">
        <v>38</v>
      </c>
      <c r="B301" t="s">
        <v>403</v>
      </c>
      <c r="C301">
        <v>4.5450014075576304</v>
      </c>
      <c r="D301">
        <v>26.596687316894499</v>
      </c>
      <c r="E301">
        <v>47.78301371261486</v>
      </c>
      <c r="F301">
        <v>10.829472122713916</v>
      </c>
      <c r="H301" s="1">
        <v>45917</v>
      </c>
      <c r="I301" t="s">
        <v>3</v>
      </c>
      <c r="J301">
        <v>30</v>
      </c>
      <c r="K301" s="2">
        <v>7</v>
      </c>
      <c r="L301">
        <v>2.1</v>
      </c>
      <c r="M301">
        <v>17</v>
      </c>
      <c r="N301">
        <v>10</v>
      </c>
      <c r="O301">
        <v>17</v>
      </c>
      <c r="P301">
        <v>16</v>
      </c>
      <c r="Q301">
        <v>13</v>
      </c>
      <c r="R301">
        <v>17</v>
      </c>
      <c r="S301">
        <v>56.7</v>
      </c>
      <c r="T301">
        <v>2025</v>
      </c>
    </row>
    <row r="302" spans="1:20" x14ac:dyDescent="0.25">
      <c r="A302" t="s">
        <v>38</v>
      </c>
      <c r="B302" t="s">
        <v>403</v>
      </c>
      <c r="C302">
        <v>4.5450014075576304</v>
      </c>
      <c r="D302">
        <v>26.596687316894499</v>
      </c>
      <c r="E302">
        <v>47.78301371261486</v>
      </c>
      <c r="F302">
        <v>10.829472122713916</v>
      </c>
      <c r="H302" s="1">
        <v>45917</v>
      </c>
      <c r="I302" t="s">
        <v>4</v>
      </c>
      <c r="J302">
        <v>45</v>
      </c>
      <c r="K302" s="2">
        <v>3</v>
      </c>
      <c r="L302">
        <v>1.5</v>
      </c>
      <c r="M302">
        <v>17</v>
      </c>
      <c r="N302">
        <v>14</v>
      </c>
      <c r="O302">
        <v>17</v>
      </c>
      <c r="P302">
        <v>16</v>
      </c>
      <c r="Q302">
        <v>17</v>
      </c>
      <c r="R302">
        <v>15</v>
      </c>
      <c r="S302">
        <v>56.7</v>
      </c>
      <c r="T302">
        <v>2025</v>
      </c>
    </row>
    <row r="303" spans="1:20" x14ac:dyDescent="0.25">
      <c r="A303" t="s">
        <v>38</v>
      </c>
      <c r="B303" t="s">
        <v>403</v>
      </c>
      <c r="C303">
        <v>4.5450014075576304</v>
      </c>
      <c r="D303">
        <v>26.596687316894499</v>
      </c>
      <c r="E303">
        <v>47.78301371261486</v>
      </c>
      <c r="F303">
        <v>10.829472122713916</v>
      </c>
      <c r="H303" s="1">
        <v>45917</v>
      </c>
      <c r="I303" t="s">
        <v>5</v>
      </c>
      <c r="J303">
        <v>60</v>
      </c>
      <c r="K303" s="2">
        <v>4.4000000000000004</v>
      </c>
      <c r="L303">
        <v>1.7</v>
      </c>
      <c r="M303">
        <v>17</v>
      </c>
      <c r="N303">
        <v>17</v>
      </c>
      <c r="O303">
        <v>17</v>
      </c>
      <c r="P303">
        <v>17</v>
      </c>
      <c r="Q303">
        <v>17</v>
      </c>
      <c r="R303">
        <v>17</v>
      </c>
      <c r="S303">
        <v>56.7</v>
      </c>
      <c r="T303">
        <v>2025</v>
      </c>
    </row>
    <row r="304" spans="1:20" x14ac:dyDescent="0.25">
      <c r="A304" t="s">
        <v>38</v>
      </c>
      <c r="B304" t="s">
        <v>403</v>
      </c>
      <c r="C304">
        <v>4.5450014075576304</v>
      </c>
      <c r="D304">
        <v>26.596687316894499</v>
      </c>
      <c r="E304">
        <v>47.78301371261486</v>
      </c>
      <c r="F304">
        <v>10.829472122713916</v>
      </c>
      <c r="H304" s="1">
        <v>45917</v>
      </c>
      <c r="I304" t="s">
        <v>6</v>
      </c>
      <c r="J304">
        <v>75</v>
      </c>
      <c r="K304" s="2">
        <v>4</v>
      </c>
      <c r="L304">
        <v>3.5</v>
      </c>
      <c r="M304">
        <v>17</v>
      </c>
      <c r="N304">
        <v>17</v>
      </c>
      <c r="O304">
        <v>17</v>
      </c>
      <c r="P304">
        <v>17</v>
      </c>
      <c r="Q304">
        <v>17</v>
      </c>
      <c r="R304">
        <v>17</v>
      </c>
      <c r="S304">
        <v>56.7</v>
      </c>
      <c r="T304">
        <v>2025</v>
      </c>
    </row>
    <row r="305" spans="1:20" x14ac:dyDescent="0.25">
      <c r="A305" t="s">
        <v>38</v>
      </c>
      <c r="B305" t="s">
        <v>403</v>
      </c>
      <c r="C305">
        <v>4.5450014075576304</v>
      </c>
      <c r="D305">
        <v>26.596687316894499</v>
      </c>
      <c r="E305">
        <v>47.78301371261486</v>
      </c>
      <c r="F305">
        <v>10.829472122713916</v>
      </c>
      <c r="H305" s="1">
        <v>45917</v>
      </c>
      <c r="I305" t="s">
        <v>7</v>
      </c>
      <c r="J305">
        <v>90</v>
      </c>
      <c r="K305" s="2">
        <v>2.5</v>
      </c>
      <c r="L305">
        <v>2</v>
      </c>
      <c r="M305">
        <v>17</v>
      </c>
      <c r="N305">
        <v>16</v>
      </c>
      <c r="O305">
        <v>17</v>
      </c>
      <c r="P305">
        <v>17</v>
      </c>
      <c r="Q305">
        <v>17</v>
      </c>
      <c r="R305">
        <v>17</v>
      </c>
      <c r="S305">
        <v>56.7</v>
      </c>
      <c r="T305">
        <v>2025</v>
      </c>
    </row>
    <row r="306" spans="1:20" x14ac:dyDescent="0.25">
      <c r="A306" t="s">
        <v>38</v>
      </c>
      <c r="B306" t="s">
        <v>403</v>
      </c>
      <c r="C306">
        <v>4.5450014075576304</v>
      </c>
      <c r="D306">
        <v>26.596687316894499</v>
      </c>
      <c r="E306">
        <v>47.78301371261486</v>
      </c>
      <c r="F306">
        <v>10.829472122713916</v>
      </c>
      <c r="H306" s="1">
        <v>45917</v>
      </c>
      <c r="I306" t="s">
        <v>8</v>
      </c>
      <c r="J306">
        <v>105</v>
      </c>
      <c r="K306" s="2">
        <v>3.6</v>
      </c>
      <c r="L306">
        <v>2.1</v>
      </c>
      <c r="M306">
        <v>17</v>
      </c>
      <c r="N306">
        <v>16</v>
      </c>
      <c r="O306">
        <v>17</v>
      </c>
      <c r="P306">
        <v>17</v>
      </c>
      <c r="Q306">
        <v>17</v>
      </c>
      <c r="R306">
        <v>17</v>
      </c>
      <c r="S306">
        <v>56.7</v>
      </c>
      <c r="T306">
        <v>2025</v>
      </c>
    </row>
    <row r="307" spans="1:20" x14ac:dyDescent="0.25">
      <c r="A307" t="s">
        <v>38</v>
      </c>
      <c r="B307" t="s">
        <v>403</v>
      </c>
      <c r="C307">
        <v>4.5450014075576304</v>
      </c>
      <c r="D307">
        <v>26.596687316894499</v>
      </c>
      <c r="E307">
        <v>47.78301371261486</v>
      </c>
      <c r="F307">
        <v>10.829472122713916</v>
      </c>
      <c r="H307" s="1">
        <v>45917</v>
      </c>
      <c r="I307" t="s">
        <v>9</v>
      </c>
      <c r="J307">
        <v>120</v>
      </c>
      <c r="K307" s="2">
        <v>2.7</v>
      </c>
      <c r="L307">
        <v>2</v>
      </c>
      <c r="M307">
        <v>17</v>
      </c>
      <c r="N307">
        <v>17</v>
      </c>
      <c r="O307">
        <v>17</v>
      </c>
      <c r="P307">
        <v>17</v>
      </c>
      <c r="Q307">
        <v>17</v>
      </c>
      <c r="R307">
        <v>17</v>
      </c>
      <c r="S307">
        <v>56.7</v>
      </c>
      <c r="T307">
        <v>2025</v>
      </c>
    </row>
    <row r="308" spans="1:20" x14ac:dyDescent="0.25">
      <c r="A308" t="s">
        <v>38</v>
      </c>
      <c r="B308" t="s">
        <v>403</v>
      </c>
      <c r="C308">
        <v>4.5450014075576304</v>
      </c>
      <c r="D308">
        <v>26.596687316894499</v>
      </c>
      <c r="E308">
        <v>47.78301371261486</v>
      </c>
      <c r="F308">
        <v>10.829472122713916</v>
      </c>
      <c r="H308" s="1">
        <v>45917</v>
      </c>
      <c r="I308" t="s">
        <v>10</v>
      </c>
      <c r="J308">
        <v>135</v>
      </c>
      <c r="K308" s="2">
        <v>2.6</v>
      </c>
      <c r="L308">
        <v>1.9</v>
      </c>
      <c r="M308">
        <v>17</v>
      </c>
      <c r="N308">
        <v>17</v>
      </c>
      <c r="O308">
        <v>17</v>
      </c>
      <c r="P308">
        <v>17</v>
      </c>
      <c r="Q308">
        <v>17</v>
      </c>
      <c r="R308">
        <v>17</v>
      </c>
      <c r="S308">
        <v>56.7</v>
      </c>
      <c r="T308">
        <v>2025</v>
      </c>
    </row>
    <row r="309" spans="1:20" x14ac:dyDescent="0.25">
      <c r="A309" t="s">
        <v>38</v>
      </c>
      <c r="B309" t="s">
        <v>403</v>
      </c>
      <c r="C309">
        <v>4.5450014075576304</v>
      </c>
      <c r="D309">
        <v>26.596687316894499</v>
      </c>
      <c r="E309">
        <v>47.78301371261486</v>
      </c>
      <c r="F309">
        <v>10.829472122713916</v>
      </c>
      <c r="H309" s="1">
        <v>45917</v>
      </c>
      <c r="I309" t="s">
        <v>11</v>
      </c>
      <c r="J309">
        <v>150</v>
      </c>
      <c r="K309" s="2">
        <v>4.0999999999999996</v>
      </c>
      <c r="L309">
        <v>2.2000000000000002</v>
      </c>
      <c r="M309">
        <v>17</v>
      </c>
      <c r="N309">
        <v>17</v>
      </c>
      <c r="O309">
        <v>17</v>
      </c>
      <c r="P309">
        <v>17</v>
      </c>
      <c r="Q309">
        <v>16</v>
      </c>
      <c r="R309">
        <v>17</v>
      </c>
      <c r="S309">
        <v>56.7</v>
      </c>
      <c r="T309">
        <v>2025</v>
      </c>
    </row>
    <row r="310" spans="1:20" x14ac:dyDescent="0.25">
      <c r="A310" t="s">
        <v>39</v>
      </c>
      <c r="B310" t="s">
        <v>232</v>
      </c>
      <c r="C310">
        <v>21.3984103475239</v>
      </c>
      <c r="D310">
        <v>46.454967498779297</v>
      </c>
      <c r="E310">
        <v>82.506331801414504</v>
      </c>
      <c r="F310">
        <v>0.382738711778074</v>
      </c>
      <c r="H310" s="1">
        <v>45895</v>
      </c>
      <c r="I310" t="s">
        <v>0</v>
      </c>
      <c r="J310">
        <v>0</v>
      </c>
      <c r="K310" s="2">
        <v>3.8</v>
      </c>
      <c r="L310">
        <v>3</v>
      </c>
      <c r="M310">
        <v>17</v>
      </c>
      <c r="N310">
        <v>2</v>
      </c>
      <c r="O310">
        <v>8</v>
      </c>
      <c r="P310">
        <v>17</v>
      </c>
      <c r="Q310">
        <v>3</v>
      </c>
      <c r="R310">
        <v>17</v>
      </c>
      <c r="S310">
        <v>30.4</v>
      </c>
      <c r="T310">
        <v>2025</v>
      </c>
    </row>
    <row r="311" spans="1:20" x14ac:dyDescent="0.25">
      <c r="A311" t="s">
        <v>39</v>
      </c>
      <c r="B311" t="s">
        <v>232</v>
      </c>
      <c r="C311">
        <v>21.3984103475239</v>
      </c>
      <c r="D311">
        <v>46.454967498779297</v>
      </c>
      <c r="E311">
        <v>82.506331801414504</v>
      </c>
      <c r="F311">
        <v>0.382738711778074</v>
      </c>
      <c r="H311" s="1">
        <v>45895</v>
      </c>
      <c r="I311" t="s">
        <v>1</v>
      </c>
      <c r="J311">
        <v>10</v>
      </c>
      <c r="K311" s="2">
        <v>4.2</v>
      </c>
      <c r="L311">
        <v>4</v>
      </c>
      <c r="M311">
        <v>17</v>
      </c>
      <c r="N311">
        <v>13</v>
      </c>
      <c r="O311">
        <v>11</v>
      </c>
      <c r="P311">
        <v>13</v>
      </c>
      <c r="Q311">
        <v>9</v>
      </c>
      <c r="R311">
        <v>16</v>
      </c>
      <c r="S311">
        <v>30.4</v>
      </c>
      <c r="T311">
        <v>2025</v>
      </c>
    </row>
    <row r="312" spans="1:20" x14ac:dyDescent="0.25">
      <c r="A312" t="s">
        <v>39</v>
      </c>
      <c r="B312" t="s">
        <v>232</v>
      </c>
      <c r="C312">
        <v>21.3984103475239</v>
      </c>
      <c r="D312">
        <v>46.454967498779297</v>
      </c>
      <c r="E312">
        <v>82.506331801414504</v>
      </c>
      <c r="F312">
        <v>0.382738711778074</v>
      </c>
      <c r="H312" s="1">
        <v>45895</v>
      </c>
      <c r="I312" t="s">
        <v>3</v>
      </c>
      <c r="J312">
        <v>20</v>
      </c>
      <c r="K312" s="2">
        <v>3.8</v>
      </c>
      <c r="L312">
        <v>3.2</v>
      </c>
      <c r="M312">
        <v>17</v>
      </c>
      <c r="N312">
        <v>15</v>
      </c>
      <c r="O312">
        <v>17</v>
      </c>
      <c r="P312">
        <v>17</v>
      </c>
      <c r="Q312">
        <v>11</v>
      </c>
      <c r="R312">
        <v>17</v>
      </c>
      <c r="S312">
        <v>30.4</v>
      </c>
      <c r="T312">
        <v>2025</v>
      </c>
    </row>
    <row r="313" spans="1:20" x14ac:dyDescent="0.25">
      <c r="A313" t="s">
        <v>39</v>
      </c>
      <c r="B313" t="s">
        <v>232</v>
      </c>
      <c r="C313">
        <v>21.3984103475239</v>
      </c>
      <c r="D313">
        <v>46.454967498779297</v>
      </c>
      <c r="E313">
        <v>82.506331801414504</v>
      </c>
      <c r="F313">
        <v>0.382738711778074</v>
      </c>
      <c r="H313" s="1">
        <v>45895</v>
      </c>
      <c r="I313" t="s">
        <v>4</v>
      </c>
      <c r="J313">
        <v>30</v>
      </c>
      <c r="K313" s="2">
        <v>3.9</v>
      </c>
      <c r="L313">
        <v>3.2</v>
      </c>
      <c r="M313">
        <v>17</v>
      </c>
      <c r="N313">
        <v>14</v>
      </c>
      <c r="O313">
        <v>17</v>
      </c>
      <c r="P313">
        <v>17</v>
      </c>
      <c r="Q313">
        <v>16</v>
      </c>
      <c r="R313">
        <v>17</v>
      </c>
      <c r="S313">
        <v>30.4</v>
      </c>
      <c r="T313">
        <v>2025</v>
      </c>
    </row>
    <row r="314" spans="1:20" x14ac:dyDescent="0.25">
      <c r="A314" t="s">
        <v>39</v>
      </c>
      <c r="B314" t="s">
        <v>232</v>
      </c>
      <c r="C314">
        <v>21.3984103475239</v>
      </c>
      <c r="D314">
        <v>46.454967498779297</v>
      </c>
      <c r="E314">
        <v>82.506331801414504</v>
      </c>
      <c r="F314">
        <v>0.382738711778074</v>
      </c>
      <c r="H314" s="1">
        <v>45895</v>
      </c>
      <c r="I314" t="s">
        <v>5</v>
      </c>
      <c r="J314">
        <v>40</v>
      </c>
      <c r="K314" s="2">
        <v>4.5</v>
      </c>
      <c r="L314">
        <v>3.5</v>
      </c>
      <c r="M314">
        <v>17</v>
      </c>
      <c r="N314">
        <v>16</v>
      </c>
      <c r="O314">
        <v>15</v>
      </c>
      <c r="P314">
        <v>17</v>
      </c>
      <c r="Q314">
        <v>12</v>
      </c>
      <c r="R314">
        <v>17</v>
      </c>
      <c r="S314">
        <v>30.4</v>
      </c>
      <c r="T314">
        <v>2025</v>
      </c>
    </row>
    <row r="315" spans="1:20" x14ac:dyDescent="0.25">
      <c r="A315" t="s">
        <v>39</v>
      </c>
      <c r="B315" t="s">
        <v>232</v>
      </c>
      <c r="C315">
        <v>21.3984103475239</v>
      </c>
      <c r="D315">
        <v>46.454967498779297</v>
      </c>
      <c r="E315">
        <v>82.506331801414504</v>
      </c>
      <c r="F315">
        <v>0.382738711778074</v>
      </c>
      <c r="H315" s="1">
        <v>45895</v>
      </c>
      <c r="I315" t="s">
        <v>6</v>
      </c>
      <c r="J315">
        <v>50</v>
      </c>
      <c r="K315" s="2">
        <v>5</v>
      </c>
      <c r="L315">
        <v>4.9000000000000004</v>
      </c>
      <c r="M315">
        <v>17</v>
      </c>
      <c r="N315">
        <v>17</v>
      </c>
      <c r="O315">
        <v>15</v>
      </c>
      <c r="P315">
        <v>15</v>
      </c>
      <c r="Q315">
        <v>17</v>
      </c>
      <c r="R315">
        <v>15</v>
      </c>
      <c r="S315">
        <v>30.4</v>
      </c>
      <c r="T315">
        <v>2025</v>
      </c>
    </row>
    <row r="316" spans="1:20" x14ac:dyDescent="0.25">
      <c r="A316" t="s">
        <v>39</v>
      </c>
      <c r="B316" t="s">
        <v>232</v>
      </c>
      <c r="C316">
        <v>21.3984103475239</v>
      </c>
      <c r="D316">
        <v>46.454967498779297</v>
      </c>
      <c r="E316">
        <v>82.506331801414504</v>
      </c>
      <c r="F316">
        <v>0.382738711778074</v>
      </c>
      <c r="H316" s="1">
        <v>45895</v>
      </c>
      <c r="I316" t="s">
        <v>7</v>
      </c>
      <c r="J316">
        <v>60</v>
      </c>
      <c r="K316" s="2">
        <v>6.5</v>
      </c>
      <c r="L316">
        <v>5.9</v>
      </c>
      <c r="M316">
        <v>17</v>
      </c>
      <c r="N316">
        <v>15</v>
      </c>
      <c r="O316">
        <v>15</v>
      </c>
      <c r="P316">
        <v>17</v>
      </c>
      <c r="Q316">
        <v>16</v>
      </c>
      <c r="R316">
        <v>17</v>
      </c>
      <c r="S316">
        <v>30.4</v>
      </c>
      <c r="T316">
        <v>2025</v>
      </c>
    </row>
    <row r="317" spans="1:20" x14ac:dyDescent="0.25">
      <c r="A317" t="s">
        <v>39</v>
      </c>
      <c r="B317" t="s">
        <v>232</v>
      </c>
      <c r="C317">
        <v>21.3984103475239</v>
      </c>
      <c r="D317">
        <v>46.454967498779297</v>
      </c>
      <c r="E317">
        <v>82.506331801414504</v>
      </c>
      <c r="F317">
        <v>0.382738711778074</v>
      </c>
      <c r="H317" s="1">
        <v>45895</v>
      </c>
      <c r="I317" t="s">
        <v>8</v>
      </c>
      <c r="J317">
        <v>70</v>
      </c>
      <c r="K317" s="2">
        <v>5.7</v>
      </c>
      <c r="L317">
        <v>4</v>
      </c>
      <c r="M317">
        <v>17</v>
      </c>
      <c r="N317">
        <v>13</v>
      </c>
      <c r="O317">
        <v>14</v>
      </c>
      <c r="P317">
        <v>17</v>
      </c>
      <c r="Q317">
        <v>9</v>
      </c>
      <c r="R317">
        <v>17</v>
      </c>
      <c r="S317">
        <v>30.4</v>
      </c>
      <c r="T317">
        <v>2025</v>
      </c>
    </row>
    <row r="318" spans="1:20" x14ac:dyDescent="0.25">
      <c r="A318" t="s">
        <v>39</v>
      </c>
      <c r="B318" t="s">
        <v>232</v>
      </c>
      <c r="C318">
        <v>21.3984103475239</v>
      </c>
      <c r="D318">
        <v>46.454967498779297</v>
      </c>
      <c r="E318">
        <v>82.506331801414504</v>
      </c>
      <c r="F318">
        <v>0.382738711778074</v>
      </c>
      <c r="H318" s="1">
        <v>45895</v>
      </c>
      <c r="I318" t="s">
        <v>9</v>
      </c>
      <c r="J318">
        <v>80</v>
      </c>
      <c r="K318" s="2">
        <v>7.3</v>
      </c>
      <c r="L318">
        <v>2.5</v>
      </c>
      <c r="M318">
        <v>17</v>
      </c>
      <c r="N318">
        <v>17</v>
      </c>
      <c r="O318">
        <v>17</v>
      </c>
      <c r="P318">
        <v>17</v>
      </c>
      <c r="Q318">
        <v>17</v>
      </c>
      <c r="R318">
        <v>17</v>
      </c>
      <c r="S318">
        <v>30.4</v>
      </c>
      <c r="T318">
        <v>2025</v>
      </c>
    </row>
    <row r="319" spans="1:20" x14ac:dyDescent="0.25">
      <c r="A319" t="s">
        <v>39</v>
      </c>
      <c r="B319" t="s">
        <v>232</v>
      </c>
      <c r="C319">
        <v>21.3984103475239</v>
      </c>
      <c r="D319">
        <v>46.454967498779297</v>
      </c>
      <c r="E319">
        <v>82.506331801414504</v>
      </c>
      <c r="F319">
        <v>0.382738711778074</v>
      </c>
      <c r="H319" s="1">
        <v>45895</v>
      </c>
      <c r="I319" t="s">
        <v>10</v>
      </c>
      <c r="J319">
        <v>90</v>
      </c>
      <c r="K319" s="2">
        <v>6.2</v>
      </c>
      <c r="L319">
        <v>4.4000000000000004</v>
      </c>
      <c r="M319">
        <v>17</v>
      </c>
      <c r="N319">
        <v>16</v>
      </c>
      <c r="O319">
        <v>12</v>
      </c>
      <c r="P319">
        <v>17</v>
      </c>
      <c r="Q319">
        <v>17</v>
      </c>
      <c r="R319">
        <v>17</v>
      </c>
      <c r="S319">
        <v>30.4</v>
      </c>
      <c r="T319">
        <v>2025</v>
      </c>
    </row>
    <row r="320" spans="1:20" x14ac:dyDescent="0.25">
      <c r="A320" t="s">
        <v>39</v>
      </c>
      <c r="B320" t="s">
        <v>232</v>
      </c>
      <c r="C320">
        <v>21.3984103475239</v>
      </c>
      <c r="D320">
        <v>46.454967498779297</v>
      </c>
      <c r="E320">
        <v>82.506331801414504</v>
      </c>
      <c r="F320">
        <v>0.382738711778074</v>
      </c>
      <c r="H320" s="1">
        <v>45895</v>
      </c>
      <c r="I320" t="s">
        <v>11</v>
      </c>
      <c r="J320">
        <v>100</v>
      </c>
      <c r="K320" s="2">
        <v>4.7</v>
      </c>
      <c r="L320">
        <v>4</v>
      </c>
      <c r="M320">
        <v>16</v>
      </c>
      <c r="N320">
        <v>15</v>
      </c>
      <c r="O320">
        <v>17</v>
      </c>
      <c r="P320">
        <v>17</v>
      </c>
      <c r="Q320">
        <v>16</v>
      </c>
      <c r="R320">
        <v>17</v>
      </c>
      <c r="S320">
        <v>30.4</v>
      </c>
      <c r="T320">
        <v>2025</v>
      </c>
    </row>
    <row r="321" spans="1:20" x14ac:dyDescent="0.25">
      <c r="A321" t="s">
        <v>40</v>
      </c>
      <c r="B321" t="s">
        <v>366</v>
      </c>
      <c r="C321">
        <v>3.8686165361351001</v>
      </c>
      <c r="D321">
        <v>47.698879241943402</v>
      </c>
      <c r="E321">
        <v>82.149798423051863</v>
      </c>
      <c r="F321">
        <v>5.8971843216568276</v>
      </c>
      <c r="H321" s="1">
        <v>45916</v>
      </c>
      <c r="I321" t="s">
        <v>0</v>
      </c>
      <c r="J321">
        <v>0</v>
      </c>
      <c r="K321" s="2">
        <v>4.5</v>
      </c>
      <c r="L321">
        <v>2.2999999999999998</v>
      </c>
      <c r="M321">
        <v>17</v>
      </c>
      <c r="N321">
        <v>14</v>
      </c>
      <c r="O321">
        <v>16</v>
      </c>
      <c r="P321">
        <v>13</v>
      </c>
      <c r="Q321">
        <v>17</v>
      </c>
      <c r="R321">
        <v>16</v>
      </c>
      <c r="S321">
        <v>47.7</v>
      </c>
      <c r="T321">
        <v>2025</v>
      </c>
    </row>
    <row r="322" spans="1:20" x14ac:dyDescent="0.25">
      <c r="A322" t="s">
        <v>40</v>
      </c>
      <c r="B322" t="s">
        <v>366</v>
      </c>
      <c r="C322">
        <v>3.8686165361351001</v>
      </c>
      <c r="D322">
        <v>47.698879241943402</v>
      </c>
      <c r="E322">
        <v>82.149798423051863</v>
      </c>
      <c r="F322">
        <v>5.8971843216568276</v>
      </c>
      <c r="H322" s="1">
        <v>45916</v>
      </c>
      <c r="I322" t="s">
        <v>1</v>
      </c>
      <c r="J322">
        <v>15</v>
      </c>
      <c r="K322" s="2">
        <v>4.7</v>
      </c>
      <c r="L322">
        <v>1.9</v>
      </c>
      <c r="M322">
        <v>17</v>
      </c>
      <c r="N322">
        <v>16</v>
      </c>
      <c r="O322">
        <v>15</v>
      </c>
      <c r="P322">
        <v>15</v>
      </c>
      <c r="Q322">
        <v>17</v>
      </c>
      <c r="R322">
        <v>17</v>
      </c>
      <c r="S322">
        <v>47.7</v>
      </c>
      <c r="T322">
        <v>2025</v>
      </c>
    </row>
    <row r="323" spans="1:20" x14ac:dyDescent="0.25">
      <c r="A323" t="s">
        <v>40</v>
      </c>
      <c r="B323" t="s">
        <v>366</v>
      </c>
      <c r="C323">
        <v>3.8686165361351001</v>
      </c>
      <c r="D323">
        <v>47.698879241943402</v>
      </c>
      <c r="E323">
        <v>82.149798423051863</v>
      </c>
      <c r="F323">
        <v>5.8971843216568276</v>
      </c>
      <c r="H323" s="1">
        <v>45916</v>
      </c>
      <c r="I323" t="s">
        <v>3</v>
      </c>
      <c r="J323">
        <v>30</v>
      </c>
      <c r="K323" s="2">
        <v>4</v>
      </c>
      <c r="L323">
        <v>2</v>
      </c>
      <c r="M323">
        <v>17</v>
      </c>
      <c r="N323">
        <v>17</v>
      </c>
      <c r="O323">
        <v>16</v>
      </c>
      <c r="P323">
        <v>16</v>
      </c>
      <c r="Q323">
        <v>16</v>
      </c>
      <c r="R323">
        <v>17</v>
      </c>
      <c r="S323">
        <v>47.7</v>
      </c>
      <c r="T323">
        <v>2025</v>
      </c>
    </row>
    <row r="324" spans="1:20" x14ac:dyDescent="0.25">
      <c r="A324" t="s">
        <v>40</v>
      </c>
      <c r="B324" t="s">
        <v>366</v>
      </c>
      <c r="C324">
        <v>3.8686165361351001</v>
      </c>
      <c r="D324">
        <v>47.698879241943402</v>
      </c>
      <c r="E324">
        <v>82.149798423051863</v>
      </c>
      <c r="F324">
        <v>5.8971843216568276</v>
      </c>
      <c r="H324" s="1">
        <v>45916</v>
      </c>
      <c r="I324" t="s">
        <v>4</v>
      </c>
      <c r="J324">
        <v>45</v>
      </c>
      <c r="K324" s="2">
        <v>3.4</v>
      </c>
      <c r="L324">
        <v>1.3</v>
      </c>
      <c r="M324">
        <v>17</v>
      </c>
      <c r="N324">
        <v>16</v>
      </c>
      <c r="O324">
        <v>17</v>
      </c>
      <c r="P324">
        <v>16</v>
      </c>
      <c r="Q324">
        <v>17</v>
      </c>
      <c r="R324">
        <v>17</v>
      </c>
      <c r="S324">
        <v>47.7</v>
      </c>
      <c r="T324">
        <v>2025</v>
      </c>
    </row>
    <row r="325" spans="1:20" x14ac:dyDescent="0.25">
      <c r="A325" t="s">
        <v>40</v>
      </c>
      <c r="B325" t="s">
        <v>366</v>
      </c>
      <c r="C325">
        <v>3.8686165361351001</v>
      </c>
      <c r="D325">
        <v>47.698879241943402</v>
      </c>
      <c r="E325">
        <v>82.149798423051863</v>
      </c>
      <c r="F325">
        <v>5.8971843216568276</v>
      </c>
      <c r="H325" s="1">
        <v>45916</v>
      </c>
      <c r="I325" t="s">
        <v>5</v>
      </c>
      <c r="J325">
        <v>60</v>
      </c>
      <c r="K325" s="2">
        <v>3.4</v>
      </c>
      <c r="L325">
        <v>2.6</v>
      </c>
      <c r="M325">
        <v>17</v>
      </c>
      <c r="N325">
        <v>15</v>
      </c>
      <c r="O325">
        <v>15</v>
      </c>
      <c r="P325">
        <v>14</v>
      </c>
      <c r="Q325">
        <v>15</v>
      </c>
      <c r="R325">
        <v>17</v>
      </c>
      <c r="S325">
        <v>47.7</v>
      </c>
      <c r="T325">
        <v>2025</v>
      </c>
    </row>
    <row r="326" spans="1:20" x14ac:dyDescent="0.25">
      <c r="A326" t="s">
        <v>40</v>
      </c>
      <c r="B326" t="s">
        <v>366</v>
      </c>
      <c r="C326">
        <v>3.8686165361351001</v>
      </c>
      <c r="D326">
        <v>47.698879241943402</v>
      </c>
      <c r="E326">
        <v>82.149798423051863</v>
      </c>
      <c r="F326">
        <v>5.8971843216568276</v>
      </c>
      <c r="H326" s="1">
        <v>45916</v>
      </c>
      <c r="I326" t="s">
        <v>6</v>
      </c>
      <c r="J326">
        <v>75</v>
      </c>
      <c r="K326" s="2">
        <v>3</v>
      </c>
      <c r="L326">
        <v>2.6</v>
      </c>
      <c r="M326">
        <v>17</v>
      </c>
      <c r="N326">
        <v>14</v>
      </c>
      <c r="O326">
        <v>16</v>
      </c>
      <c r="P326">
        <v>17</v>
      </c>
      <c r="Q326">
        <v>17</v>
      </c>
      <c r="R326">
        <v>17</v>
      </c>
      <c r="S326">
        <v>47.7</v>
      </c>
      <c r="T326">
        <v>2025</v>
      </c>
    </row>
    <row r="327" spans="1:20" x14ac:dyDescent="0.25">
      <c r="A327" t="s">
        <v>40</v>
      </c>
      <c r="B327" t="s">
        <v>366</v>
      </c>
      <c r="C327">
        <v>3.8686165361351001</v>
      </c>
      <c r="D327">
        <v>47.698879241943402</v>
      </c>
      <c r="E327">
        <v>82.149798423051863</v>
      </c>
      <c r="F327">
        <v>5.8971843216568276</v>
      </c>
      <c r="H327" s="1">
        <v>45916</v>
      </c>
      <c r="I327" t="s">
        <v>7</v>
      </c>
      <c r="J327">
        <v>90</v>
      </c>
      <c r="K327" s="2">
        <v>3.4</v>
      </c>
      <c r="L327">
        <v>1.4</v>
      </c>
      <c r="M327">
        <v>17</v>
      </c>
      <c r="N327">
        <v>17</v>
      </c>
      <c r="O327">
        <v>17</v>
      </c>
      <c r="P327">
        <v>17</v>
      </c>
      <c r="Q327">
        <v>17</v>
      </c>
      <c r="R327">
        <v>17</v>
      </c>
      <c r="S327">
        <v>47.7</v>
      </c>
      <c r="T327">
        <v>2025</v>
      </c>
    </row>
    <row r="328" spans="1:20" x14ac:dyDescent="0.25">
      <c r="A328" t="s">
        <v>40</v>
      </c>
      <c r="B328" t="s">
        <v>366</v>
      </c>
      <c r="C328">
        <v>3.8686165361351001</v>
      </c>
      <c r="D328">
        <v>47.698879241943402</v>
      </c>
      <c r="E328">
        <v>82.149798423051863</v>
      </c>
      <c r="F328">
        <v>5.8971843216568276</v>
      </c>
      <c r="H328" s="1">
        <v>45916</v>
      </c>
      <c r="I328" t="s">
        <v>8</v>
      </c>
      <c r="J328">
        <v>105</v>
      </c>
      <c r="K328" s="2">
        <v>3</v>
      </c>
      <c r="L328">
        <v>2.7</v>
      </c>
      <c r="M328">
        <v>17</v>
      </c>
      <c r="N328">
        <v>16</v>
      </c>
      <c r="O328">
        <v>17</v>
      </c>
      <c r="P328">
        <v>17</v>
      </c>
      <c r="Q328">
        <v>17</v>
      </c>
      <c r="R328">
        <v>17</v>
      </c>
      <c r="S328">
        <v>47.7</v>
      </c>
      <c r="T328">
        <v>2025</v>
      </c>
    </row>
    <row r="329" spans="1:20" x14ac:dyDescent="0.25">
      <c r="A329" t="s">
        <v>40</v>
      </c>
      <c r="B329" t="s">
        <v>366</v>
      </c>
      <c r="C329">
        <v>3.8686165361351001</v>
      </c>
      <c r="D329">
        <v>47.698879241943402</v>
      </c>
      <c r="E329">
        <v>82.149798423051863</v>
      </c>
      <c r="F329">
        <v>5.8971843216568276</v>
      </c>
      <c r="H329" s="1">
        <v>45916</v>
      </c>
      <c r="I329" t="s">
        <v>9</v>
      </c>
      <c r="J329">
        <v>120</v>
      </c>
      <c r="K329" s="2">
        <v>4</v>
      </c>
      <c r="L329">
        <v>2.8</v>
      </c>
      <c r="M329">
        <v>17</v>
      </c>
      <c r="N329">
        <v>16</v>
      </c>
      <c r="O329">
        <v>17</v>
      </c>
      <c r="P329">
        <v>17</v>
      </c>
      <c r="Q329">
        <v>17</v>
      </c>
      <c r="R329">
        <v>17</v>
      </c>
      <c r="S329">
        <v>47.7</v>
      </c>
      <c r="T329">
        <v>2025</v>
      </c>
    </row>
    <row r="330" spans="1:20" x14ac:dyDescent="0.25">
      <c r="A330" t="s">
        <v>40</v>
      </c>
      <c r="B330" t="s">
        <v>366</v>
      </c>
      <c r="C330">
        <v>3.8686165361351001</v>
      </c>
      <c r="D330">
        <v>47.698879241943402</v>
      </c>
      <c r="E330">
        <v>82.149798423051863</v>
      </c>
      <c r="F330">
        <v>5.8971843216568276</v>
      </c>
      <c r="H330" s="1">
        <v>45916</v>
      </c>
      <c r="I330" t="s">
        <v>10</v>
      </c>
      <c r="J330">
        <v>135</v>
      </c>
      <c r="K330" s="2">
        <v>4.7</v>
      </c>
      <c r="L330">
        <v>2.2999999999999998</v>
      </c>
      <c r="M330">
        <v>17</v>
      </c>
      <c r="N330">
        <v>14</v>
      </c>
      <c r="O330">
        <v>17</v>
      </c>
      <c r="P330">
        <v>17</v>
      </c>
      <c r="Q330">
        <v>16</v>
      </c>
      <c r="R330">
        <v>17</v>
      </c>
      <c r="S330">
        <v>47.7</v>
      </c>
      <c r="T330">
        <v>2025</v>
      </c>
    </row>
    <row r="331" spans="1:20" x14ac:dyDescent="0.25">
      <c r="A331" t="s">
        <v>40</v>
      </c>
      <c r="B331" t="s">
        <v>366</v>
      </c>
      <c r="C331">
        <v>3.8686165361351001</v>
      </c>
      <c r="D331">
        <v>47.698879241943402</v>
      </c>
      <c r="E331">
        <v>82.149798423051863</v>
      </c>
      <c r="F331">
        <v>5.8971843216568276</v>
      </c>
      <c r="H331" s="1">
        <v>45916</v>
      </c>
      <c r="I331" t="s">
        <v>11</v>
      </c>
      <c r="J331">
        <v>150</v>
      </c>
      <c r="K331" s="2">
        <v>6.2</v>
      </c>
      <c r="L331">
        <v>1.8</v>
      </c>
      <c r="M331">
        <v>17</v>
      </c>
      <c r="N331">
        <v>17</v>
      </c>
      <c r="O331">
        <v>15</v>
      </c>
      <c r="P331">
        <v>17</v>
      </c>
      <c r="Q331">
        <v>17</v>
      </c>
      <c r="R331">
        <v>17</v>
      </c>
      <c r="S331">
        <v>47.7</v>
      </c>
      <c r="T331">
        <v>2025</v>
      </c>
    </row>
    <row r="332" spans="1:20" x14ac:dyDescent="0.25">
      <c r="A332" t="s">
        <v>41</v>
      </c>
      <c r="B332" t="s">
        <v>371</v>
      </c>
      <c r="C332">
        <v>4.6245957437989302</v>
      </c>
      <c r="D332">
        <v>31.440233230590799</v>
      </c>
      <c r="E332">
        <v>57.731239497661548</v>
      </c>
      <c r="F332">
        <v>13.16807139664888</v>
      </c>
      <c r="H332" s="1">
        <v>45866</v>
      </c>
      <c r="I332" t="s">
        <v>0</v>
      </c>
      <c r="J332">
        <v>0</v>
      </c>
      <c r="K332" s="2">
        <v>3.8</v>
      </c>
      <c r="L332">
        <v>3.7</v>
      </c>
      <c r="M332">
        <v>17</v>
      </c>
      <c r="N332">
        <v>17</v>
      </c>
      <c r="O332">
        <v>17</v>
      </c>
      <c r="P332">
        <v>16</v>
      </c>
      <c r="Q332">
        <v>17</v>
      </c>
      <c r="R332">
        <v>17</v>
      </c>
      <c r="S332">
        <v>49.2</v>
      </c>
      <c r="T332">
        <v>2025</v>
      </c>
    </row>
    <row r="333" spans="1:20" x14ac:dyDescent="0.25">
      <c r="A333" t="s">
        <v>41</v>
      </c>
      <c r="B333" t="s">
        <v>371</v>
      </c>
      <c r="C333">
        <v>4.6245957437989302</v>
      </c>
      <c r="D333">
        <v>31.440233230590799</v>
      </c>
      <c r="E333">
        <v>57.731239497661548</v>
      </c>
      <c r="F333">
        <v>13.16807139664888</v>
      </c>
      <c r="H333" s="1">
        <v>45866</v>
      </c>
      <c r="I333" t="s">
        <v>1</v>
      </c>
      <c r="J333">
        <v>15</v>
      </c>
      <c r="K333" s="2">
        <v>3.7</v>
      </c>
      <c r="L333">
        <v>3.1</v>
      </c>
      <c r="M333">
        <v>17</v>
      </c>
      <c r="N333">
        <v>16</v>
      </c>
      <c r="O333">
        <v>17</v>
      </c>
      <c r="P333">
        <v>16</v>
      </c>
      <c r="Q333">
        <v>17</v>
      </c>
      <c r="R333">
        <v>15</v>
      </c>
      <c r="S333">
        <v>49.2</v>
      </c>
      <c r="T333">
        <v>2025</v>
      </c>
    </row>
    <row r="334" spans="1:20" x14ac:dyDescent="0.25">
      <c r="A334" t="s">
        <v>41</v>
      </c>
      <c r="B334" t="s">
        <v>371</v>
      </c>
      <c r="C334">
        <v>4.6245957437989302</v>
      </c>
      <c r="D334">
        <v>31.440233230590799</v>
      </c>
      <c r="E334">
        <v>57.731239497661548</v>
      </c>
      <c r="F334">
        <v>13.16807139664888</v>
      </c>
      <c r="H334" s="1">
        <v>45866</v>
      </c>
      <c r="I334" t="s">
        <v>3</v>
      </c>
      <c r="J334">
        <v>30</v>
      </c>
      <c r="K334" s="2">
        <v>2.9</v>
      </c>
      <c r="L334">
        <v>2.2999999999999998</v>
      </c>
      <c r="M334">
        <v>17</v>
      </c>
      <c r="N334">
        <v>17</v>
      </c>
      <c r="O334">
        <v>16</v>
      </c>
      <c r="P334">
        <v>17</v>
      </c>
      <c r="Q334">
        <v>17</v>
      </c>
      <c r="R334">
        <v>17</v>
      </c>
      <c r="S334">
        <v>49.2</v>
      </c>
      <c r="T334">
        <v>2025</v>
      </c>
    </row>
    <row r="335" spans="1:20" x14ac:dyDescent="0.25">
      <c r="A335" t="s">
        <v>41</v>
      </c>
      <c r="B335" t="s">
        <v>371</v>
      </c>
      <c r="C335">
        <v>4.6245957437989302</v>
      </c>
      <c r="D335">
        <v>31.440233230590799</v>
      </c>
      <c r="E335">
        <v>57.731239497661548</v>
      </c>
      <c r="F335">
        <v>13.16807139664888</v>
      </c>
      <c r="H335" s="1">
        <v>45866</v>
      </c>
      <c r="I335" t="s">
        <v>4</v>
      </c>
      <c r="J335">
        <v>45</v>
      </c>
      <c r="K335" s="2">
        <v>3.4</v>
      </c>
      <c r="L335">
        <v>3.3</v>
      </c>
      <c r="M335">
        <v>17</v>
      </c>
      <c r="N335">
        <v>17</v>
      </c>
      <c r="O335">
        <v>17</v>
      </c>
      <c r="P335">
        <v>17</v>
      </c>
      <c r="Q335">
        <v>17</v>
      </c>
      <c r="R335">
        <v>17</v>
      </c>
      <c r="S335">
        <v>49.2</v>
      </c>
      <c r="T335">
        <v>2025</v>
      </c>
    </row>
    <row r="336" spans="1:20" x14ac:dyDescent="0.25">
      <c r="A336" t="s">
        <v>41</v>
      </c>
      <c r="B336" t="s">
        <v>371</v>
      </c>
      <c r="C336">
        <v>4.6245957437989302</v>
      </c>
      <c r="D336">
        <v>31.440233230590799</v>
      </c>
      <c r="E336">
        <v>57.731239497661548</v>
      </c>
      <c r="F336">
        <v>13.16807139664888</v>
      </c>
      <c r="H336" s="1">
        <v>45866</v>
      </c>
      <c r="I336" t="s">
        <v>5</v>
      </c>
      <c r="J336">
        <v>60</v>
      </c>
      <c r="K336" s="2">
        <v>3.9</v>
      </c>
      <c r="L336">
        <v>2.5</v>
      </c>
      <c r="M336">
        <v>17</v>
      </c>
      <c r="N336">
        <v>17</v>
      </c>
      <c r="O336">
        <v>17</v>
      </c>
      <c r="P336">
        <v>16</v>
      </c>
      <c r="Q336">
        <v>17</v>
      </c>
      <c r="R336">
        <v>17</v>
      </c>
      <c r="S336">
        <v>49.2</v>
      </c>
      <c r="T336">
        <v>2025</v>
      </c>
    </row>
    <row r="337" spans="1:20" x14ac:dyDescent="0.25">
      <c r="A337" t="s">
        <v>41</v>
      </c>
      <c r="B337" t="s">
        <v>371</v>
      </c>
      <c r="C337">
        <v>4.6245957437989302</v>
      </c>
      <c r="D337">
        <v>31.440233230590799</v>
      </c>
      <c r="E337">
        <v>57.731239497661548</v>
      </c>
      <c r="F337">
        <v>13.16807139664888</v>
      </c>
      <c r="H337" s="1">
        <v>45866</v>
      </c>
      <c r="I337" t="s">
        <v>6</v>
      </c>
      <c r="J337">
        <v>75</v>
      </c>
      <c r="K337" s="2">
        <v>3.8</v>
      </c>
      <c r="L337">
        <v>3.5</v>
      </c>
      <c r="M337">
        <v>17</v>
      </c>
      <c r="N337">
        <v>15</v>
      </c>
      <c r="O337">
        <v>17</v>
      </c>
      <c r="P337">
        <v>15</v>
      </c>
      <c r="Q337">
        <v>17</v>
      </c>
      <c r="R337">
        <v>17</v>
      </c>
      <c r="S337">
        <v>49.2</v>
      </c>
      <c r="T337">
        <v>2025</v>
      </c>
    </row>
    <row r="338" spans="1:20" x14ac:dyDescent="0.25">
      <c r="A338" t="s">
        <v>41</v>
      </c>
      <c r="B338" t="s">
        <v>371</v>
      </c>
      <c r="C338">
        <v>4.6245957437989302</v>
      </c>
      <c r="D338">
        <v>31.440233230590799</v>
      </c>
      <c r="E338">
        <v>57.731239497661548</v>
      </c>
      <c r="F338">
        <v>13.16807139664888</v>
      </c>
      <c r="H338" s="1">
        <v>45866</v>
      </c>
      <c r="I338" t="s">
        <v>7</v>
      </c>
      <c r="J338">
        <v>90</v>
      </c>
      <c r="K338" s="2">
        <v>4.4000000000000004</v>
      </c>
      <c r="L338">
        <v>1.5</v>
      </c>
      <c r="M338">
        <v>17</v>
      </c>
      <c r="N338">
        <v>15</v>
      </c>
      <c r="O338">
        <v>14</v>
      </c>
      <c r="P338">
        <v>11</v>
      </c>
      <c r="Q338">
        <v>17</v>
      </c>
      <c r="R338">
        <v>17</v>
      </c>
      <c r="S338">
        <v>49.2</v>
      </c>
      <c r="T338">
        <v>2025</v>
      </c>
    </row>
    <row r="339" spans="1:20" x14ac:dyDescent="0.25">
      <c r="A339" t="s">
        <v>41</v>
      </c>
      <c r="B339" t="s">
        <v>371</v>
      </c>
      <c r="C339">
        <v>4.6245957437989302</v>
      </c>
      <c r="D339">
        <v>31.440233230590799</v>
      </c>
      <c r="E339">
        <v>57.731239497661548</v>
      </c>
      <c r="F339">
        <v>13.16807139664888</v>
      </c>
      <c r="H339" s="1">
        <v>45866</v>
      </c>
      <c r="I339" t="s">
        <v>8</v>
      </c>
      <c r="J339">
        <v>105</v>
      </c>
      <c r="K339" s="2">
        <v>3.7</v>
      </c>
      <c r="L339">
        <v>1.5</v>
      </c>
      <c r="M339">
        <v>17</v>
      </c>
      <c r="N339">
        <v>17</v>
      </c>
      <c r="O339">
        <v>17</v>
      </c>
      <c r="P339">
        <v>17</v>
      </c>
      <c r="Q339">
        <v>17</v>
      </c>
      <c r="R339">
        <v>17</v>
      </c>
      <c r="S339">
        <v>49.2</v>
      </c>
      <c r="T339">
        <v>2025</v>
      </c>
    </row>
    <row r="340" spans="1:20" x14ac:dyDescent="0.25">
      <c r="A340" t="s">
        <v>41</v>
      </c>
      <c r="B340" t="s">
        <v>371</v>
      </c>
      <c r="C340">
        <v>4.6245957437989302</v>
      </c>
      <c r="D340">
        <v>31.440233230590799</v>
      </c>
      <c r="E340">
        <v>57.731239497661548</v>
      </c>
      <c r="F340">
        <v>13.16807139664888</v>
      </c>
      <c r="H340" s="1">
        <v>45866</v>
      </c>
      <c r="I340" t="s">
        <v>9</v>
      </c>
      <c r="J340">
        <v>120</v>
      </c>
      <c r="K340" s="2">
        <v>6.2</v>
      </c>
      <c r="L340">
        <v>4.0999999999999996</v>
      </c>
      <c r="M340">
        <v>17</v>
      </c>
      <c r="N340">
        <v>17</v>
      </c>
      <c r="O340">
        <v>17</v>
      </c>
      <c r="P340">
        <v>17</v>
      </c>
      <c r="Q340">
        <v>17</v>
      </c>
      <c r="R340">
        <v>17</v>
      </c>
      <c r="S340">
        <v>49.2</v>
      </c>
      <c r="T340">
        <v>2025</v>
      </c>
    </row>
    <row r="341" spans="1:20" x14ac:dyDescent="0.25">
      <c r="A341" t="s">
        <v>41</v>
      </c>
      <c r="B341" t="s">
        <v>371</v>
      </c>
      <c r="C341">
        <v>4.6245957437989302</v>
      </c>
      <c r="D341">
        <v>31.440233230590799</v>
      </c>
      <c r="E341">
        <v>57.731239497661548</v>
      </c>
      <c r="F341">
        <v>13.16807139664888</v>
      </c>
      <c r="H341" s="1">
        <v>45866</v>
      </c>
      <c r="I341" t="s">
        <v>10</v>
      </c>
      <c r="J341">
        <v>135</v>
      </c>
      <c r="K341" s="2">
        <v>4.0999999999999996</v>
      </c>
      <c r="L341">
        <v>2</v>
      </c>
      <c r="M341">
        <v>17</v>
      </c>
      <c r="N341">
        <v>17</v>
      </c>
      <c r="O341">
        <v>17</v>
      </c>
      <c r="P341">
        <v>17</v>
      </c>
      <c r="Q341">
        <v>17</v>
      </c>
      <c r="R341">
        <v>17</v>
      </c>
      <c r="S341">
        <v>49.2</v>
      </c>
      <c r="T341">
        <v>2025</v>
      </c>
    </row>
    <row r="342" spans="1:20" x14ac:dyDescent="0.25">
      <c r="A342" t="s">
        <v>41</v>
      </c>
      <c r="B342" t="s">
        <v>371</v>
      </c>
      <c r="C342">
        <v>4.6245957437989302</v>
      </c>
      <c r="D342">
        <v>31.440233230590799</v>
      </c>
      <c r="E342">
        <v>57.731239497661548</v>
      </c>
      <c r="F342">
        <v>13.16807139664888</v>
      </c>
      <c r="H342" s="1">
        <v>45866</v>
      </c>
      <c r="I342" t="s">
        <v>11</v>
      </c>
      <c r="J342">
        <v>150</v>
      </c>
      <c r="K342" s="2">
        <v>3.2</v>
      </c>
      <c r="L342">
        <v>2</v>
      </c>
      <c r="M342">
        <v>15</v>
      </c>
      <c r="N342">
        <v>17</v>
      </c>
      <c r="O342">
        <v>17</v>
      </c>
      <c r="P342">
        <v>17</v>
      </c>
      <c r="Q342">
        <v>14</v>
      </c>
      <c r="R342">
        <v>17</v>
      </c>
      <c r="S342">
        <v>49.2</v>
      </c>
      <c r="T342">
        <v>2025</v>
      </c>
    </row>
    <row r="343" spans="1:20" x14ac:dyDescent="0.25">
      <c r="A343" t="s">
        <v>42</v>
      </c>
      <c r="B343" t="s">
        <v>104</v>
      </c>
      <c r="C343">
        <v>39.322532116401099</v>
      </c>
      <c r="D343">
        <v>4.5569114685058603</v>
      </c>
      <c r="E343">
        <v>8.6197681492194622</v>
      </c>
      <c r="F343">
        <v>68.715096451342163</v>
      </c>
      <c r="H343" s="1">
        <v>45861</v>
      </c>
      <c r="I343" t="s">
        <v>0</v>
      </c>
      <c r="J343">
        <v>0</v>
      </c>
      <c r="K343" s="2">
        <v>3.5</v>
      </c>
      <c r="L343">
        <v>3.5</v>
      </c>
      <c r="M343">
        <v>16</v>
      </c>
      <c r="N343">
        <v>16</v>
      </c>
      <c r="O343">
        <v>17</v>
      </c>
      <c r="P343">
        <v>15</v>
      </c>
      <c r="Q343">
        <v>17</v>
      </c>
      <c r="R343">
        <v>17</v>
      </c>
      <c r="S343">
        <v>85.9</v>
      </c>
      <c r="T343">
        <v>2025</v>
      </c>
    </row>
    <row r="344" spans="1:20" x14ac:dyDescent="0.25">
      <c r="A344" t="s">
        <v>42</v>
      </c>
      <c r="B344" t="s">
        <v>104</v>
      </c>
      <c r="C344">
        <v>39.322532116401099</v>
      </c>
      <c r="D344">
        <v>4.5569114685058603</v>
      </c>
      <c r="E344">
        <v>8.6197681492194622</v>
      </c>
      <c r="F344">
        <v>68.715096451342163</v>
      </c>
      <c r="H344" s="1">
        <v>45861</v>
      </c>
      <c r="I344" t="s">
        <v>1</v>
      </c>
      <c r="J344">
        <v>15</v>
      </c>
      <c r="K344" s="2">
        <v>6.1</v>
      </c>
      <c r="L344">
        <v>5.9</v>
      </c>
      <c r="M344">
        <v>17</v>
      </c>
      <c r="N344">
        <v>17</v>
      </c>
      <c r="O344">
        <v>17</v>
      </c>
      <c r="P344">
        <v>17</v>
      </c>
      <c r="Q344">
        <v>17</v>
      </c>
      <c r="R344">
        <v>17</v>
      </c>
      <c r="S344">
        <v>85.9</v>
      </c>
      <c r="T344">
        <v>2025</v>
      </c>
    </row>
    <row r="345" spans="1:20" x14ac:dyDescent="0.25">
      <c r="A345" t="s">
        <v>42</v>
      </c>
      <c r="B345" t="s">
        <v>104</v>
      </c>
      <c r="C345">
        <v>39.322532116401099</v>
      </c>
      <c r="D345">
        <v>4.5569114685058603</v>
      </c>
      <c r="E345">
        <v>8.6197681492194622</v>
      </c>
      <c r="F345">
        <v>68.715096451342163</v>
      </c>
      <c r="H345" s="1">
        <v>45861</v>
      </c>
      <c r="I345" t="s">
        <v>3</v>
      </c>
      <c r="J345">
        <v>30</v>
      </c>
      <c r="K345" s="2">
        <v>7.8</v>
      </c>
      <c r="L345">
        <v>6.7</v>
      </c>
      <c r="M345">
        <v>17</v>
      </c>
      <c r="N345">
        <v>16</v>
      </c>
      <c r="O345">
        <v>16</v>
      </c>
      <c r="P345">
        <v>16</v>
      </c>
      <c r="Q345">
        <v>17</v>
      </c>
      <c r="R345">
        <v>16</v>
      </c>
      <c r="S345">
        <v>85.9</v>
      </c>
      <c r="T345">
        <v>2025</v>
      </c>
    </row>
    <row r="346" spans="1:20" x14ac:dyDescent="0.25">
      <c r="A346" t="s">
        <v>42</v>
      </c>
      <c r="B346" t="s">
        <v>104</v>
      </c>
      <c r="C346">
        <v>39.322532116401099</v>
      </c>
      <c r="D346">
        <v>4.5569114685058603</v>
      </c>
      <c r="E346">
        <v>8.6197681492194622</v>
      </c>
      <c r="F346">
        <v>68.715096451342163</v>
      </c>
      <c r="H346" s="1">
        <v>45861</v>
      </c>
      <c r="I346" t="s">
        <v>4</v>
      </c>
      <c r="J346">
        <v>45</v>
      </c>
      <c r="K346" s="2">
        <v>6.5</v>
      </c>
      <c r="L346">
        <v>5.4</v>
      </c>
      <c r="M346">
        <v>17</v>
      </c>
      <c r="N346">
        <v>17</v>
      </c>
      <c r="O346">
        <v>15</v>
      </c>
      <c r="P346">
        <v>17</v>
      </c>
      <c r="Q346">
        <v>16</v>
      </c>
      <c r="R346">
        <v>17</v>
      </c>
      <c r="S346">
        <v>85.9</v>
      </c>
      <c r="T346">
        <v>2025</v>
      </c>
    </row>
    <row r="347" spans="1:20" x14ac:dyDescent="0.25">
      <c r="A347" t="s">
        <v>42</v>
      </c>
      <c r="B347" t="s">
        <v>104</v>
      </c>
      <c r="C347">
        <v>39.322532116401099</v>
      </c>
      <c r="D347">
        <v>4.5569114685058603</v>
      </c>
      <c r="E347">
        <v>8.6197681492194622</v>
      </c>
      <c r="F347">
        <v>68.715096451342163</v>
      </c>
      <c r="H347" s="1">
        <v>45861</v>
      </c>
      <c r="I347" t="s">
        <v>5</v>
      </c>
      <c r="J347">
        <v>60</v>
      </c>
      <c r="K347" s="2">
        <v>8.9</v>
      </c>
      <c r="L347">
        <v>7</v>
      </c>
      <c r="M347">
        <v>17</v>
      </c>
      <c r="N347">
        <v>15</v>
      </c>
      <c r="O347">
        <v>16</v>
      </c>
      <c r="P347">
        <v>16</v>
      </c>
      <c r="Q347">
        <v>17</v>
      </c>
      <c r="R347">
        <v>17</v>
      </c>
      <c r="S347">
        <v>85.9</v>
      </c>
      <c r="T347">
        <v>2025</v>
      </c>
    </row>
    <row r="348" spans="1:20" x14ac:dyDescent="0.25">
      <c r="A348" t="s">
        <v>42</v>
      </c>
      <c r="B348" t="s">
        <v>104</v>
      </c>
      <c r="C348">
        <v>39.322532116401099</v>
      </c>
      <c r="D348">
        <v>4.5569114685058603</v>
      </c>
      <c r="E348">
        <v>8.6197681492194622</v>
      </c>
      <c r="F348">
        <v>68.715096451342163</v>
      </c>
      <c r="H348" s="1">
        <v>45861</v>
      </c>
      <c r="I348" t="s">
        <v>6</v>
      </c>
      <c r="J348">
        <v>75</v>
      </c>
      <c r="K348" s="2">
        <v>6</v>
      </c>
      <c r="L348">
        <v>5.4</v>
      </c>
      <c r="M348">
        <v>16</v>
      </c>
      <c r="N348">
        <v>17</v>
      </c>
      <c r="O348">
        <v>17</v>
      </c>
      <c r="P348">
        <v>17</v>
      </c>
      <c r="Q348">
        <v>14</v>
      </c>
      <c r="R348">
        <v>17</v>
      </c>
      <c r="S348">
        <v>85.9</v>
      </c>
      <c r="T348">
        <v>2025</v>
      </c>
    </row>
    <row r="349" spans="1:20" x14ac:dyDescent="0.25">
      <c r="A349" t="s">
        <v>42</v>
      </c>
      <c r="B349" t="s">
        <v>104</v>
      </c>
      <c r="C349">
        <v>39.322532116401099</v>
      </c>
      <c r="D349">
        <v>4.5569114685058603</v>
      </c>
      <c r="E349">
        <v>8.6197681492194622</v>
      </c>
      <c r="F349">
        <v>68.715096451342163</v>
      </c>
      <c r="H349" s="1">
        <v>45861</v>
      </c>
      <c r="I349" t="s">
        <v>7</v>
      </c>
      <c r="J349">
        <v>90</v>
      </c>
      <c r="K349" s="2">
        <v>8.8000000000000007</v>
      </c>
      <c r="L349">
        <v>5.2</v>
      </c>
      <c r="M349">
        <v>17</v>
      </c>
      <c r="N349">
        <v>14</v>
      </c>
      <c r="O349">
        <v>15</v>
      </c>
      <c r="P349">
        <v>17</v>
      </c>
      <c r="Q349">
        <v>15</v>
      </c>
      <c r="R349">
        <v>17</v>
      </c>
      <c r="S349">
        <v>85.9</v>
      </c>
      <c r="T349">
        <v>2025</v>
      </c>
    </row>
    <row r="350" spans="1:20" x14ac:dyDescent="0.25">
      <c r="A350" t="s">
        <v>42</v>
      </c>
      <c r="B350" t="s">
        <v>104</v>
      </c>
      <c r="C350">
        <v>39.322532116401099</v>
      </c>
      <c r="D350">
        <v>4.5569114685058603</v>
      </c>
      <c r="E350">
        <v>8.6197681492194622</v>
      </c>
      <c r="F350">
        <v>68.715096451342163</v>
      </c>
      <c r="H350" s="1">
        <v>45861</v>
      </c>
      <c r="I350" t="s">
        <v>8</v>
      </c>
      <c r="J350">
        <v>105</v>
      </c>
      <c r="K350" s="2">
        <v>4.3</v>
      </c>
      <c r="L350">
        <v>3.4</v>
      </c>
      <c r="M350">
        <v>17</v>
      </c>
      <c r="N350">
        <v>17</v>
      </c>
      <c r="O350">
        <v>13</v>
      </c>
      <c r="P350">
        <v>16</v>
      </c>
      <c r="Q350">
        <v>14</v>
      </c>
      <c r="R350">
        <v>17</v>
      </c>
      <c r="S350">
        <v>85.9</v>
      </c>
      <c r="T350">
        <v>2025</v>
      </c>
    </row>
    <row r="351" spans="1:20" x14ac:dyDescent="0.25">
      <c r="A351" t="s">
        <v>42</v>
      </c>
      <c r="B351" t="s">
        <v>104</v>
      </c>
      <c r="C351">
        <v>39.322532116401099</v>
      </c>
      <c r="D351">
        <v>4.5569114685058603</v>
      </c>
      <c r="E351">
        <v>8.6197681492194622</v>
      </c>
      <c r="F351">
        <v>68.715096451342163</v>
      </c>
      <c r="H351" s="1">
        <v>45861</v>
      </c>
      <c r="I351" t="s">
        <v>9</v>
      </c>
      <c r="J351">
        <v>120</v>
      </c>
      <c r="K351" s="2">
        <v>8</v>
      </c>
      <c r="L351">
        <v>7.8</v>
      </c>
      <c r="M351">
        <v>17</v>
      </c>
      <c r="N351">
        <v>17</v>
      </c>
      <c r="O351">
        <v>15</v>
      </c>
      <c r="P351">
        <v>16</v>
      </c>
      <c r="Q351">
        <v>16</v>
      </c>
      <c r="R351">
        <v>16</v>
      </c>
      <c r="S351">
        <v>85.9</v>
      </c>
      <c r="T351">
        <v>2025</v>
      </c>
    </row>
    <row r="352" spans="1:20" x14ac:dyDescent="0.25">
      <c r="A352" t="s">
        <v>42</v>
      </c>
      <c r="B352" t="s">
        <v>104</v>
      </c>
      <c r="C352">
        <v>39.322532116401099</v>
      </c>
      <c r="D352">
        <v>4.5569114685058603</v>
      </c>
      <c r="E352">
        <v>8.6197681492194622</v>
      </c>
      <c r="F352">
        <v>68.715096451342163</v>
      </c>
      <c r="H352" s="1">
        <v>45861</v>
      </c>
      <c r="I352" t="s">
        <v>10</v>
      </c>
      <c r="J352">
        <v>135</v>
      </c>
      <c r="K352" s="2">
        <v>7</v>
      </c>
      <c r="L352">
        <v>5.5</v>
      </c>
      <c r="M352">
        <v>17</v>
      </c>
      <c r="N352">
        <v>17</v>
      </c>
      <c r="O352">
        <v>17</v>
      </c>
      <c r="P352">
        <v>16</v>
      </c>
      <c r="Q352">
        <v>17</v>
      </c>
      <c r="R352">
        <v>16</v>
      </c>
      <c r="S352">
        <v>85.9</v>
      </c>
      <c r="T352">
        <v>2025</v>
      </c>
    </row>
    <row r="353" spans="1:20" x14ac:dyDescent="0.25">
      <c r="A353" t="s">
        <v>42</v>
      </c>
      <c r="B353" t="s">
        <v>104</v>
      </c>
      <c r="C353">
        <v>39.322532116401099</v>
      </c>
      <c r="D353">
        <v>4.5569114685058603</v>
      </c>
      <c r="E353">
        <v>8.6197681492194622</v>
      </c>
      <c r="F353">
        <v>68.715096451342163</v>
      </c>
      <c r="H353" s="1">
        <v>45861</v>
      </c>
      <c r="I353" t="s">
        <v>11</v>
      </c>
      <c r="J353">
        <v>150</v>
      </c>
      <c r="K353" s="2">
        <v>5</v>
      </c>
      <c r="L353">
        <v>4.3</v>
      </c>
      <c r="M353">
        <v>17</v>
      </c>
      <c r="N353">
        <v>17</v>
      </c>
      <c r="O353">
        <v>17</v>
      </c>
      <c r="P353">
        <v>16</v>
      </c>
      <c r="Q353">
        <v>17</v>
      </c>
      <c r="R353">
        <v>17</v>
      </c>
      <c r="S353">
        <v>85.9</v>
      </c>
      <c r="T353">
        <v>2025</v>
      </c>
    </row>
    <row r="354" spans="1:20" x14ac:dyDescent="0.25">
      <c r="A354" t="s">
        <v>43</v>
      </c>
      <c r="B354" t="s">
        <v>237</v>
      </c>
      <c r="C354">
        <v>36.152286021789998</v>
      </c>
      <c r="D354">
        <v>19.869703292846701</v>
      </c>
      <c r="E354">
        <v>37.618785910308432</v>
      </c>
      <c r="F354">
        <v>36.763286590576143</v>
      </c>
      <c r="H354" s="1">
        <v>45867</v>
      </c>
      <c r="I354" t="s">
        <v>0</v>
      </c>
      <c r="J354">
        <v>0</v>
      </c>
      <c r="K354" s="2">
        <v>7.7</v>
      </c>
      <c r="L354">
        <v>4.7</v>
      </c>
      <c r="M354">
        <v>17</v>
      </c>
      <c r="N354">
        <v>16</v>
      </c>
      <c r="O354">
        <v>17</v>
      </c>
      <c r="P354">
        <v>17</v>
      </c>
      <c r="Q354">
        <v>17</v>
      </c>
      <c r="R354">
        <v>17</v>
      </c>
      <c r="S354">
        <v>50.6</v>
      </c>
      <c r="T354">
        <v>2025</v>
      </c>
    </row>
    <row r="355" spans="1:20" x14ac:dyDescent="0.25">
      <c r="A355" t="s">
        <v>43</v>
      </c>
      <c r="B355" t="s">
        <v>237</v>
      </c>
      <c r="C355">
        <v>36.152286021789998</v>
      </c>
      <c r="D355">
        <v>19.869703292846701</v>
      </c>
      <c r="E355">
        <v>37.618785910308432</v>
      </c>
      <c r="F355">
        <v>36.763286590576143</v>
      </c>
      <c r="H355" s="1">
        <v>45867</v>
      </c>
      <c r="I355" t="s">
        <v>1</v>
      </c>
      <c r="J355">
        <v>15</v>
      </c>
      <c r="K355" s="2">
        <v>7.7</v>
      </c>
      <c r="L355">
        <v>5.0999999999999996</v>
      </c>
      <c r="M355">
        <v>14</v>
      </c>
      <c r="N355">
        <v>17</v>
      </c>
      <c r="O355">
        <v>16</v>
      </c>
      <c r="P355">
        <v>17</v>
      </c>
      <c r="Q355">
        <v>14</v>
      </c>
      <c r="R355">
        <v>17</v>
      </c>
      <c r="S355">
        <v>50.6</v>
      </c>
      <c r="T355">
        <v>2025</v>
      </c>
    </row>
    <row r="356" spans="1:20" x14ac:dyDescent="0.25">
      <c r="A356" t="s">
        <v>43</v>
      </c>
      <c r="B356" t="s">
        <v>237</v>
      </c>
      <c r="C356">
        <v>36.152286021789998</v>
      </c>
      <c r="D356">
        <v>19.869703292846701</v>
      </c>
      <c r="E356">
        <v>37.618785910308432</v>
      </c>
      <c r="F356">
        <v>36.763286590576143</v>
      </c>
      <c r="H356" s="1">
        <v>45867</v>
      </c>
      <c r="I356" t="s">
        <v>3</v>
      </c>
      <c r="J356">
        <v>30</v>
      </c>
      <c r="K356" s="2">
        <v>7.5</v>
      </c>
      <c r="L356">
        <v>5.3</v>
      </c>
      <c r="M356">
        <v>17</v>
      </c>
      <c r="N356">
        <v>16</v>
      </c>
      <c r="O356">
        <v>15</v>
      </c>
      <c r="P356">
        <v>17</v>
      </c>
      <c r="Q356">
        <v>14</v>
      </c>
      <c r="R356">
        <v>17</v>
      </c>
      <c r="S356">
        <v>50.6</v>
      </c>
      <c r="T356">
        <v>2025</v>
      </c>
    </row>
    <row r="357" spans="1:20" x14ac:dyDescent="0.25">
      <c r="A357" t="s">
        <v>43</v>
      </c>
      <c r="B357" t="s">
        <v>237</v>
      </c>
      <c r="C357">
        <v>36.152286021789998</v>
      </c>
      <c r="D357">
        <v>19.869703292846701</v>
      </c>
      <c r="E357">
        <v>37.618785910308432</v>
      </c>
      <c r="F357">
        <v>36.763286590576143</v>
      </c>
      <c r="H357" s="1">
        <v>45867</v>
      </c>
      <c r="I357" t="s">
        <v>4</v>
      </c>
      <c r="J357">
        <v>45</v>
      </c>
      <c r="K357" s="2">
        <v>5.6</v>
      </c>
      <c r="L357">
        <v>5</v>
      </c>
      <c r="M357">
        <v>17</v>
      </c>
      <c r="N357">
        <v>16</v>
      </c>
      <c r="O357">
        <v>15</v>
      </c>
      <c r="P357">
        <v>16</v>
      </c>
      <c r="Q357">
        <v>15</v>
      </c>
      <c r="R357">
        <v>16</v>
      </c>
      <c r="S357">
        <v>50.6</v>
      </c>
      <c r="T357">
        <v>2025</v>
      </c>
    </row>
    <row r="358" spans="1:20" x14ac:dyDescent="0.25">
      <c r="A358" t="s">
        <v>43</v>
      </c>
      <c r="B358" t="s">
        <v>237</v>
      </c>
      <c r="C358">
        <v>36.152286021789998</v>
      </c>
      <c r="D358">
        <v>19.869703292846701</v>
      </c>
      <c r="E358">
        <v>37.618785910308432</v>
      </c>
      <c r="F358">
        <v>36.763286590576143</v>
      </c>
      <c r="H358" s="1">
        <v>45867</v>
      </c>
      <c r="I358" t="s">
        <v>5</v>
      </c>
      <c r="J358">
        <v>60</v>
      </c>
      <c r="K358" s="2">
        <v>4.9000000000000004</v>
      </c>
      <c r="L358">
        <v>4</v>
      </c>
      <c r="M358">
        <v>17</v>
      </c>
      <c r="N358">
        <v>2</v>
      </c>
      <c r="O358">
        <v>15</v>
      </c>
      <c r="P358">
        <v>14</v>
      </c>
      <c r="Q358">
        <v>13</v>
      </c>
      <c r="R358">
        <v>17</v>
      </c>
      <c r="S358">
        <v>50.6</v>
      </c>
      <c r="T358">
        <v>2025</v>
      </c>
    </row>
    <row r="359" spans="1:20" x14ac:dyDescent="0.25">
      <c r="A359" t="s">
        <v>43</v>
      </c>
      <c r="B359" t="s">
        <v>237</v>
      </c>
      <c r="C359">
        <v>36.152286021789998</v>
      </c>
      <c r="D359">
        <v>19.869703292846701</v>
      </c>
      <c r="E359">
        <v>37.618785910308432</v>
      </c>
      <c r="F359">
        <v>36.763286590576143</v>
      </c>
      <c r="H359" s="1">
        <v>45867</v>
      </c>
      <c r="I359" t="s">
        <v>6</v>
      </c>
      <c r="J359">
        <v>75</v>
      </c>
      <c r="K359" s="2">
        <v>8.8000000000000007</v>
      </c>
      <c r="L359">
        <v>6.4</v>
      </c>
      <c r="M359">
        <v>17</v>
      </c>
      <c r="N359">
        <v>17</v>
      </c>
      <c r="O359">
        <v>16</v>
      </c>
      <c r="P359">
        <v>16</v>
      </c>
      <c r="Q359">
        <v>17</v>
      </c>
      <c r="R359">
        <v>17</v>
      </c>
      <c r="S359">
        <v>50.6</v>
      </c>
      <c r="T359">
        <v>2025</v>
      </c>
    </row>
    <row r="360" spans="1:20" x14ac:dyDescent="0.25">
      <c r="A360" t="s">
        <v>43</v>
      </c>
      <c r="B360" t="s">
        <v>237</v>
      </c>
      <c r="C360">
        <v>36.152286021789998</v>
      </c>
      <c r="D360">
        <v>19.869703292846701</v>
      </c>
      <c r="E360">
        <v>37.618785910308432</v>
      </c>
      <c r="F360">
        <v>36.763286590576143</v>
      </c>
      <c r="H360" s="1">
        <v>45867</v>
      </c>
      <c r="I360" t="s">
        <v>7</v>
      </c>
      <c r="J360">
        <v>90</v>
      </c>
      <c r="K360" s="2">
        <v>8.3000000000000007</v>
      </c>
      <c r="L360">
        <v>4.5</v>
      </c>
      <c r="M360">
        <v>17</v>
      </c>
      <c r="N360">
        <v>16</v>
      </c>
      <c r="O360">
        <v>17</v>
      </c>
      <c r="P360">
        <v>17</v>
      </c>
      <c r="Q360">
        <v>17</v>
      </c>
      <c r="R360">
        <v>17</v>
      </c>
      <c r="S360">
        <v>50.6</v>
      </c>
      <c r="T360">
        <v>2025</v>
      </c>
    </row>
    <row r="361" spans="1:20" x14ac:dyDescent="0.25">
      <c r="A361" t="s">
        <v>43</v>
      </c>
      <c r="B361" t="s">
        <v>237</v>
      </c>
      <c r="C361">
        <v>36.152286021789998</v>
      </c>
      <c r="D361">
        <v>19.869703292846701</v>
      </c>
      <c r="E361">
        <v>37.618785910308432</v>
      </c>
      <c r="F361">
        <v>36.763286590576143</v>
      </c>
      <c r="H361" s="1">
        <v>45867</v>
      </c>
      <c r="I361" t="s">
        <v>8</v>
      </c>
      <c r="J361">
        <v>105</v>
      </c>
      <c r="K361" s="2">
        <v>8.9</v>
      </c>
      <c r="L361">
        <v>4.5999999999999996</v>
      </c>
      <c r="M361">
        <v>17</v>
      </c>
      <c r="N361">
        <v>16</v>
      </c>
      <c r="O361">
        <v>17</v>
      </c>
      <c r="P361">
        <v>17</v>
      </c>
      <c r="Q361">
        <v>16</v>
      </c>
      <c r="R361">
        <v>17</v>
      </c>
      <c r="S361">
        <v>50.6</v>
      </c>
      <c r="T361">
        <v>2025</v>
      </c>
    </row>
    <row r="362" spans="1:20" x14ac:dyDescent="0.25">
      <c r="A362" t="s">
        <v>43</v>
      </c>
      <c r="B362" t="s">
        <v>237</v>
      </c>
      <c r="C362">
        <v>36.152286021789998</v>
      </c>
      <c r="D362">
        <v>19.869703292846701</v>
      </c>
      <c r="E362">
        <v>37.618785910308432</v>
      </c>
      <c r="F362">
        <v>36.763286590576143</v>
      </c>
      <c r="H362" s="1">
        <v>45867</v>
      </c>
      <c r="I362" t="s">
        <v>9</v>
      </c>
      <c r="J362">
        <v>120</v>
      </c>
      <c r="K362" s="2">
        <v>6.1</v>
      </c>
      <c r="L362">
        <v>4.5</v>
      </c>
      <c r="M362">
        <v>17</v>
      </c>
      <c r="N362">
        <v>17</v>
      </c>
      <c r="O362">
        <v>17</v>
      </c>
      <c r="P362">
        <v>17</v>
      </c>
      <c r="Q362">
        <v>17</v>
      </c>
      <c r="R362">
        <v>17</v>
      </c>
      <c r="S362">
        <v>50.6</v>
      </c>
      <c r="T362">
        <v>2025</v>
      </c>
    </row>
    <row r="363" spans="1:20" x14ac:dyDescent="0.25">
      <c r="A363" t="s">
        <v>43</v>
      </c>
      <c r="B363" t="s">
        <v>237</v>
      </c>
      <c r="C363">
        <v>36.152286021789998</v>
      </c>
      <c r="D363">
        <v>19.869703292846701</v>
      </c>
      <c r="E363">
        <v>37.618785910308432</v>
      </c>
      <c r="F363">
        <v>36.763286590576143</v>
      </c>
      <c r="H363" s="1">
        <v>45867</v>
      </c>
      <c r="I363" t="s">
        <v>10</v>
      </c>
      <c r="J363">
        <v>135</v>
      </c>
      <c r="K363" s="2">
        <v>7.4</v>
      </c>
      <c r="L363">
        <v>3.1</v>
      </c>
      <c r="M363">
        <v>17</v>
      </c>
      <c r="N363">
        <v>17</v>
      </c>
      <c r="O363">
        <v>17</v>
      </c>
      <c r="P363">
        <v>17</v>
      </c>
      <c r="Q363">
        <v>17</v>
      </c>
      <c r="R363">
        <v>17</v>
      </c>
      <c r="S363">
        <v>50.6</v>
      </c>
      <c r="T363">
        <v>2025</v>
      </c>
    </row>
    <row r="364" spans="1:20" x14ac:dyDescent="0.25">
      <c r="A364" t="s">
        <v>43</v>
      </c>
      <c r="B364" t="s">
        <v>237</v>
      </c>
      <c r="C364">
        <v>36.152286021789998</v>
      </c>
      <c r="D364">
        <v>19.869703292846701</v>
      </c>
      <c r="E364">
        <v>37.618785910308432</v>
      </c>
      <c r="F364">
        <v>36.763286590576143</v>
      </c>
      <c r="H364" s="1">
        <v>45867</v>
      </c>
      <c r="I364" t="s">
        <v>11</v>
      </c>
      <c r="J364">
        <v>150</v>
      </c>
      <c r="K364" s="2">
        <v>7</v>
      </c>
      <c r="L364">
        <v>4</v>
      </c>
      <c r="M364">
        <v>17</v>
      </c>
      <c r="N364">
        <v>4</v>
      </c>
      <c r="O364">
        <v>17</v>
      </c>
      <c r="P364">
        <v>17</v>
      </c>
      <c r="Q364">
        <v>13</v>
      </c>
      <c r="R364">
        <v>17</v>
      </c>
      <c r="S364">
        <v>50.6</v>
      </c>
      <c r="T364">
        <v>2025</v>
      </c>
    </row>
    <row r="365" spans="1:20" x14ac:dyDescent="0.25">
      <c r="A365" t="s">
        <v>44</v>
      </c>
      <c r="B365" t="s">
        <v>152</v>
      </c>
      <c r="C365">
        <v>2.7909910831518898</v>
      </c>
      <c r="D365">
        <v>21.239496231079102</v>
      </c>
      <c r="E365">
        <v>38.258276879787488</v>
      </c>
      <c r="F365">
        <v>20.932844001799815</v>
      </c>
      <c r="H365" s="1">
        <v>45911</v>
      </c>
      <c r="I365" t="s">
        <v>0</v>
      </c>
      <c r="J365">
        <v>0</v>
      </c>
      <c r="K365" s="2">
        <v>3.3</v>
      </c>
      <c r="L365">
        <v>2.1</v>
      </c>
      <c r="M365">
        <v>17</v>
      </c>
      <c r="N365">
        <v>17</v>
      </c>
      <c r="O365">
        <v>17</v>
      </c>
      <c r="P365">
        <v>17</v>
      </c>
      <c r="Q365">
        <v>17</v>
      </c>
      <c r="R365">
        <v>17</v>
      </c>
      <c r="S365">
        <v>45.7</v>
      </c>
      <c r="T365">
        <v>2025</v>
      </c>
    </row>
    <row r="366" spans="1:20" x14ac:dyDescent="0.25">
      <c r="A366" t="s">
        <v>44</v>
      </c>
      <c r="B366" t="s">
        <v>152</v>
      </c>
      <c r="C366">
        <v>2.7909910831518898</v>
      </c>
      <c r="D366">
        <v>21.239496231079102</v>
      </c>
      <c r="E366">
        <v>38.258276879787488</v>
      </c>
      <c r="F366">
        <v>20.932844001799815</v>
      </c>
      <c r="H366" s="1">
        <v>45911</v>
      </c>
      <c r="I366" t="s">
        <v>1</v>
      </c>
      <c r="J366">
        <v>15</v>
      </c>
      <c r="K366" s="2">
        <v>2</v>
      </c>
      <c r="L366">
        <v>1.6</v>
      </c>
      <c r="M366">
        <v>17</v>
      </c>
      <c r="N366">
        <v>16</v>
      </c>
      <c r="O366">
        <v>15</v>
      </c>
      <c r="P366">
        <v>17</v>
      </c>
      <c r="Q366">
        <v>16</v>
      </c>
      <c r="R366">
        <v>17</v>
      </c>
      <c r="S366">
        <v>45.7</v>
      </c>
      <c r="T366">
        <v>2025</v>
      </c>
    </row>
    <row r="367" spans="1:20" x14ac:dyDescent="0.25">
      <c r="A367" t="s">
        <v>44</v>
      </c>
      <c r="B367" t="s">
        <v>152</v>
      </c>
      <c r="C367">
        <v>2.7909910831518898</v>
      </c>
      <c r="D367">
        <v>21.239496231079102</v>
      </c>
      <c r="E367">
        <v>38.258276879787488</v>
      </c>
      <c r="F367">
        <v>20.932844001799815</v>
      </c>
      <c r="H367" s="1">
        <v>45911</v>
      </c>
      <c r="I367" t="s">
        <v>3</v>
      </c>
      <c r="J367">
        <v>30</v>
      </c>
      <c r="K367" s="2">
        <v>2.1</v>
      </c>
      <c r="L367">
        <v>2.1</v>
      </c>
      <c r="M367">
        <v>17</v>
      </c>
      <c r="N367">
        <v>17</v>
      </c>
      <c r="O367">
        <v>17</v>
      </c>
      <c r="P367">
        <v>17</v>
      </c>
      <c r="Q367">
        <v>17</v>
      </c>
      <c r="R367">
        <v>17</v>
      </c>
      <c r="S367">
        <v>45.7</v>
      </c>
      <c r="T367">
        <v>2025</v>
      </c>
    </row>
    <row r="368" spans="1:20" x14ac:dyDescent="0.25">
      <c r="A368" t="s">
        <v>44</v>
      </c>
      <c r="B368" t="s">
        <v>152</v>
      </c>
      <c r="C368">
        <v>2.7909910831518898</v>
      </c>
      <c r="D368">
        <v>21.239496231079102</v>
      </c>
      <c r="E368">
        <v>38.258276879787488</v>
      </c>
      <c r="F368">
        <v>20.932844001799815</v>
      </c>
      <c r="H368" s="1">
        <v>45911</v>
      </c>
      <c r="I368" t="s">
        <v>4</v>
      </c>
      <c r="J368">
        <v>45</v>
      </c>
      <c r="K368" s="2">
        <v>2.5</v>
      </c>
      <c r="L368">
        <v>2.1</v>
      </c>
      <c r="M368">
        <v>16</v>
      </c>
      <c r="N368">
        <v>17</v>
      </c>
      <c r="O368">
        <v>17</v>
      </c>
      <c r="P368">
        <v>17</v>
      </c>
      <c r="Q368">
        <v>17</v>
      </c>
      <c r="R368">
        <v>17</v>
      </c>
      <c r="S368">
        <v>45.7</v>
      </c>
      <c r="T368">
        <v>2025</v>
      </c>
    </row>
    <row r="369" spans="1:20" x14ac:dyDescent="0.25">
      <c r="A369" t="s">
        <v>44</v>
      </c>
      <c r="B369" t="s">
        <v>152</v>
      </c>
      <c r="C369">
        <v>2.7909910831518898</v>
      </c>
      <c r="D369">
        <v>21.239496231079102</v>
      </c>
      <c r="E369">
        <v>38.258276879787488</v>
      </c>
      <c r="F369">
        <v>20.932844001799815</v>
      </c>
      <c r="H369" s="1">
        <v>45911</v>
      </c>
      <c r="I369" t="s">
        <v>5</v>
      </c>
      <c r="J369">
        <v>60</v>
      </c>
      <c r="K369" s="2">
        <v>1.6</v>
      </c>
      <c r="L369">
        <v>1.4</v>
      </c>
      <c r="M369">
        <v>17</v>
      </c>
      <c r="N369">
        <v>17</v>
      </c>
      <c r="O369">
        <v>17</v>
      </c>
      <c r="P369">
        <v>17</v>
      </c>
      <c r="Q369">
        <v>17</v>
      </c>
      <c r="R369">
        <v>17</v>
      </c>
      <c r="S369">
        <v>45.7</v>
      </c>
      <c r="T369">
        <v>2025</v>
      </c>
    </row>
    <row r="370" spans="1:20" x14ac:dyDescent="0.25">
      <c r="A370" t="s">
        <v>44</v>
      </c>
      <c r="B370" t="s">
        <v>152</v>
      </c>
      <c r="C370">
        <v>2.7909910831518898</v>
      </c>
      <c r="D370">
        <v>21.239496231079102</v>
      </c>
      <c r="E370">
        <v>38.258276879787488</v>
      </c>
      <c r="F370">
        <v>20.932844001799815</v>
      </c>
      <c r="H370" s="1">
        <v>45911</v>
      </c>
      <c r="I370" t="s">
        <v>6</v>
      </c>
      <c r="J370">
        <v>75</v>
      </c>
      <c r="K370" s="2">
        <v>1.4</v>
      </c>
      <c r="L370">
        <v>1.3</v>
      </c>
      <c r="M370">
        <v>17</v>
      </c>
      <c r="N370">
        <v>17</v>
      </c>
      <c r="O370">
        <v>17</v>
      </c>
      <c r="P370">
        <v>17</v>
      </c>
      <c r="Q370">
        <v>17</v>
      </c>
      <c r="R370">
        <v>17</v>
      </c>
      <c r="S370">
        <v>45.7</v>
      </c>
      <c r="T370">
        <v>2025</v>
      </c>
    </row>
    <row r="371" spans="1:20" x14ac:dyDescent="0.25">
      <c r="A371" t="s">
        <v>44</v>
      </c>
      <c r="B371" t="s">
        <v>152</v>
      </c>
      <c r="C371">
        <v>2.7909910831518898</v>
      </c>
      <c r="D371">
        <v>21.239496231079102</v>
      </c>
      <c r="E371">
        <v>38.258276879787488</v>
      </c>
      <c r="F371">
        <v>20.932844001799815</v>
      </c>
      <c r="H371" s="1">
        <v>45911</v>
      </c>
      <c r="I371" t="s">
        <v>7</v>
      </c>
      <c r="J371">
        <v>90</v>
      </c>
      <c r="K371" s="2">
        <v>2.1</v>
      </c>
      <c r="L371">
        <v>1.9</v>
      </c>
      <c r="M371">
        <v>17</v>
      </c>
      <c r="N371">
        <v>15</v>
      </c>
      <c r="O371">
        <v>16</v>
      </c>
      <c r="P371">
        <v>15</v>
      </c>
      <c r="Q371">
        <v>17</v>
      </c>
      <c r="R371">
        <v>17</v>
      </c>
      <c r="S371">
        <v>45.7</v>
      </c>
      <c r="T371">
        <v>2025</v>
      </c>
    </row>
    <row r="372" spans="1:20" x14ac:dyDescent="0.25">
      <c r="A372" t="s">
        <v>44</v>
      </c>
      <c r="B372" t="s">
        <v>152</v>
      </c>
      <c r="C372">
        <v>2.7909910831518898</v>
      </c>
      <c r="D372">
        <v>21.239496231079102</v>
      </c>
      <c r="E372">
        <v>38.258276879787488</v>
      </c>
      <c r="F372">
        <v>20.932844001799815</v>
      </c>
      <c r="H372" s="1">
        <v>45911</v>
      </c>
      <c r="I372" t="s">
        <v>8</v>
      </c>
      <c r="J372">
        <v>105</v>
      </c>
      <c r="K372" s="2">
        <v>3.2</v>
      </c>
      <c r="L372">
        <v>2.5</v>
      </c>
      <c r="M372">
        <v>17</v>
      </c>
      <c r="N372">
        <v>15</v>
      </c>
      <c r="O372">
        <v>12</v>
      </c>
      <c r="P372">
        <v>12</v>
      </c>
      <c r="Q372">
        <v>14</v>
      </c>
      <c r="R372">
        <v>15</v>
      </c>
      <c r="S372">
        <v>45.7</v>
      </c>
      <c r="T372">
        <v>2025</v>
      </c>
    </row>
    <row r="373" spans="1:20" x14ac:dyDescent="0.25">
      <c r="A373" t="s">
        <v>44</v>
      </c>
      <c r="B373" t="s">
        <v>152</v>
      </c>
      <c r="C373">
        <v>2.7909910831518898</v>
      </c>
      <c r="D373">
        <v>21.239496231079102</v>
      </c>
      <c r="E373">
        <v>38.258276879787488</v>
      </c>
      <c r="F373">
        <v>20.932844001799815</v>
      </c>
      <c r="H373" s="1">
        <v>45911</v>
      </c>
      <c r="I373" t="s">
        <v>9</v>
      </c>
      <c r="J373">
        <v>120</v>
      </c>
      <c r="K373" s="2">
        <v>3.2</v>
      </c>
      <c r="L373">
        <v>3</v>
      </c>
      <c r="M373">
        <v>17</v>
      </c>
      <c r="N373">
        <v>17</v>
      </c>
      <c r="O373">
        <v>9</v>
      </c>
      <c r="P373">
        <v>16</v>
      </c>
      <c r="Q373">
        <v>13</v>
      </c>
      <c r="R373">
        <v>17</v>
      </c>
      <c r="S373">
        <v>45.7</v>
      </c>
      <c r="T373">
        <v>2025</v>
      </c>
    </row>
    <row r="374" spans="1:20" x14ac:dyDescent="0.25">
      <c r="A374" t="s">
        <v>44</v>
      </c>
      <c r="B374" t="s">
        <v>152</v>
      </c>
      <c r="C374">
        <v>2.7909910831518898</v>
      </c>
      <c r="D374">
        <v>21.239496231079102</v>
      </c>
      <c r="E374">
        <v>38.258276879787488</v>
      </c>
      <c r="F374">
        <v>20.932844001799815</v>
      </c>
      <c r="H374" s="1">
        <v>45911</v>
      </c>
      <c r="I374" t="s">
        <v>10</v>
      </c>
      <c r="J374">
        <v>135</v>
      </c>
      <c r="K374" s="2">
        <v>3.2</v>
      </c>
      <c r="L374">
        <v>1.6</v>
      </c>
      <c r="M374">
        <v>16</v>
      </c>
      <c r="N374">
        <v>17</v>
      </c>
      <c r="O374">
        <v>17</v>
      </c>
      <c r="P374">
        <v>17</v>
      </c>
      <c r="Q374">
        <v>17</v>
      </c>
      <c r="R374">
        <v>17</v>
      </c>
      <c r="S374">
        <v>45.7</v>
      </c>
      <c r="T374">
        <v>2025</v>
      </c>
    </row>
    <row r="375" spans="1:20" x14ac:dyDescent="0.25">
      <c r="A375" t="s">
        <v>44</v>
      </c>
      <c r="B375" t="s">
        <v>152</v>
      </c>
      <c r="C375">
        <v>2.7909910831518898</v>
      </c>
      <c r="D375">
        <v>21.239496231079102</v>
      </c>
      <c r="E375">
        <v>38.258276879787488</v>
      </c>
      <c r="F375">
        <v>20.932844001799815</v>
      </c>
      <c r="H375" s="1">
        <v>45911</v>
      </c>
      <c r="I375" t="s">
        <v>11</v>
      </c>
      <c r="J375">
        <v>150</v>
      </c>
      <c r="K375" s="2">
        <v>2.1</v>
      </c>
      <c r="L375">
        <v>1.9</v>
      </c>
      <c r="M375">
        <v>17</v>
      </c>
      <c r="N375">
        <v>17</v>
      </c>
      <c r="O375">
        <v>17</v>
      </c>
      <c r="P375">
        <v>17</v>
      </c>
      <c r="Q375">
        <v>17</v>
      </c>
      <c r="R375">
        <v>17</v>
      </c>
      <c r="S375">
        <v>45.7</v>
      </c>
      <c r="T375">
        <v>2025</v>
      </c>
    </row>
    <row r="376" spans="1:20" x14ac:dyDescent="0.25">
      <c r="A376" t="s">
        <v>45</v>
      </c>
      <c r="B376" t="s">
        <v>218</v>
      </c>
      <c r="C376">
        <v>39.223016357895901</v>
      </c>
      <c r="D376">
        <v>23.755723953247099</v>
      </c>
      <c r="E376">
        <v>41.915227472782142</v>
      </c>
      <c r="F376">
        <v>16.2081622518599</v>
      </c>
      <c r="H376" s="1">
        <v>45897</v>
      </c>
      <c r="I376" t="s">
        <v>0</v>
      </c>
      <c r="J376">
        <v>0</v>
      </c>
      <c r="K376" s="2">
        <v>7.3</v>
      </c>
      <c r="L376">
        <v>5</v>
      </c>
      <c r="M376">
        <v>17</v>
      </c>
      <c r="N376">
        <v>10</v>
      </c>
      <c r="O376">
        <v>3</v>
      </c>
      <c r="P376">
        <v>7</v>
      </c>
      <c r="Q376">
        <v>14</v>
      </c>
      <c r="R376">
        <v>17</v>
      </c>
      <c r="S376">
        <v>51.4</v>
      </c>
      <c r="T376">
        <v>2025</v>
      </c>
    </row>
    <row r="377" spans="1:20" x14ac:dyDescent="0.25">
      <c r="A377" t="s">
        <v>45</v>
      </c>
      <c r="B377" t="s">
        <v>218</v>
      </c>
      <c r="C377">
        <v>39.223016357895901</v>
      </c>
      <c r="D377">
        <v>23.755723953247099</v>
      </c>
      <c r="E377">
        <v>41.915227472782142</v>
      </c>
      <c r="F377">
        <v>16.2081622518599</v>
      </c>
      <c r="H377" s="1">
        <v>45897</v>
      </c>
      <c r="I377" t="s">
        <v>1</v>
      </c>
      <c r="J377">
        <v>15</v>
      </c>
      <c r="K377" s="2">
        <v>8</v>
      </c>
      <c r="L377">
        <v>8</v>
      </c>
      <c r="M377">
        <v>17</v>
      </c>
      <c r="N377">
        <v>16</v>
      </c>
      <c r="O377">
        <v>17</v>
      </c>
      <c r="P377">
        <v>16</v>
      </c>
      <c r="Q377">
        <v>17</v>
      </c>
      <c r="R377">
        <v>17</v>
      </c>
      <c r="S377">
        <v>51.4</v>
      </c>
      <c r="T377">
        <v>2025</v>
      </c>
    </row>
    <row r="378" spans="1:20" x14ac:dyDescent="0.25">
      <c r="A378" t="s">
        <v>45</v>
      </c>
      <c r="B378" t="s">
        <v>218</v>
      </c>
      <c r="C378">
        <v>39.223016357895901</v>
      </c>
      <c r="D378">
        <v>23.755723953247099</v>
      </c>
      <c r="E378">
        <v>41.915227472782142</v>
      </c>
      <c r="F378">
        <v>16.2081622518599</v>
      </c>
      <c r="H378" s="1">
        <v>45897</v>
      </c>
      <c r="I378" t="s">
        <v>3</v>
      </c>
      <c r="J378">
        <v>30</v>
      </c>
      <c r="K378" s="2">
        <v>8.1</v>
      </c>
      <c r="L378">
        <v>7.2</v>
      </c>
      <c r="M378">
        <v>17</v>
      </c>
      <c r="N378">
        <v>17</v>
      </c>
      <c r="O378">
        <v>14</v>
      </c>
      <c r="P378">
        <v>15</v>
      </c>
      <c r="Q378">
        <v>13</v>
      </c>
      <c r="R378">
        <v>17</v>
      </c>
      <c r="S378">
        <v>51.4</v>
      </c>
      <c r="T378">
        <v>2025</v>
      </c>
    </row>
    <row r="379" spans="1:20" x14ac:dyDescent="0.25">
      <c r="A379" t="s">
        <v>45</v>
      </c>
      <c r="B379" t="s">
        <v>218</v>
      </c>
      <c r="C379">
        <v>39.223016357895901</v>
      </c>
      <c r="D379">
        <v>23.755723953247099</v>
      </c>
      <c r="E379">
        <v>41.915227472782142</v>
      </c>
      <c r="F379">
        <v>16.2081622518599</v>
      </c>
      <c r="H379" s="1">
        <v>45897</v>
      </c>
      <c r="I379" t="s">
        <v>4</v>
      </c>
      <c r="J379">
        <v>45</v>
      </c>
      <c r="K379" s="2">
        <v>6.2</v>
      </c>
      <c r="L379">
        <v>5.2</v>
      </c>
      <c r="M379">
        <v>14</v>
      </c>
      <c r="N379">
        <v>17</v>
      </c>
      <c r="O379">
        <v>14</v>
      </c>
      <c r="P379">
        <v>16</v>
      </c>
      <c r="Q379">
        <v>13</v>
      </c>
      <c r="R379">
        <v>17</v>
      </c>
      <c r="S379">
        <v>51.4</v>
      </c>
      <c r="T379">
        <v>2025</v>
      </c>
    </row>
    <row r="380" spans="1:20" x14ac:dyDescent="0.25">
      <c r="A380" t="s">
        <v>45</v>
      </c>
      <c r="B380" t="s">
        <v>218</v>
      </c>
      <c r="C380">
        <v>39.223016357895901</v>
      </c>
      <c r="D380">
        <v>23.755723953247099</v>
      </c>
      <c r="E380">
        <v>41.915227472782142</v>
      </c>
      <c r="F380">
        <v>16.2081622518599</v>
      </c>
      <c r="H380" s="1">
        <v>45897</v>
      </c>
      <c r="I380" t="s">
        <v>5</v>
      </c>
      <c r="J380">
        <v>60</v>
      </c>
      <c r="K380" s="2">
        <v>8.3000000000000007</v>
      </c>
      <c r="L380">
        <v>7.8</v>
      </c>
      <c r="M380">
        <v>17</v>
      </c>
      <c r="N380">
        <v>17</v>
      </c>
      <c r="O380">
        <v>15</v>
      </c>
      <c r="P380">
        <v>17</v>
      </c>
      <c r="Q380">
        <v>17</v>
      </c>
      <c r="R380">
        <v>17</v>
      </c>
      <c r="S380">
        <v>51.4</v>
      </c>
      <c r="T380">
        <v>2025</v>
      </c>
    </row>
    <row r="381" spans="1:20" x14ac:dyDescent="0.25">
      <c r="A381" t="s">
        <v>45</v>
      </c>
      <c r="B381" t="s">
        <v>218</v>
      </c>
      <c r="C381">
        <v>39.223016357895901</v>
      </c>
      <c r="D381">
        <v>23.755723953247099</v>
      </c>
      <c r="E381">
        <v>41.915227472782142</v>
      </c>
      <c r="F381">
        <v>16.2081622518599</v>
      </c>
      <c r="H381" s="1">
        <v>45897</v>
      </c>
      <c r="I381" t="s">
        <v>6</v>
      </c>
      <c r="J381">
        <v>75</v>
      </c>
      <c r="K381" s="2">
        <v>9.6</v>
      </c>
      <c r="L381">
        <v>4.8</v>
      </c>
      <c r="M381">
        <v>15</v>
      </c>
      <c r="N381">
        <v>12</v>
      </c>
      <c r="O381">
        <v>16</v>
      </c>
      <c r="P381">
        <v>15</v>
      </c>
      <c r="Q381">
        <v>10</v>
      </c>
      <c r="R381">
        <v>17</v>
      </c>
      <c r="S381">
        <v>51.4</v>
      </c>
      <c r="T381">
        <v>2025</v>
      </c>
    </row>
    <row r="382" spans="1:20" x14ac:dyDescent="0.25">
      <c r="A382" t="s">
        <v>45</v>
      </c>
      <c r="B382" t="s">
        <v>218</v>
      </c>
      <c r="C382">
        <v>39.223016357895901</v>
      </c>
      <c r="D382">
        <v>23.755723953247099</v>
      </c>
      <c r="E382">
        <v>41.915227472782142</v>
      </c>
      <c r="F382">
        <v>16.2081622518599</v>
      </c>
      <c r="H382" s="1">
        <v>45897</v>
      </c>
      <c r="I382" t="s">
        <v>7</v>
      </c>
      <c r="J382">
        <v>90</v>
      </c>
      <c r="K382" s="2">
        <v>6</v>
      </c>
      <c r="L382">
        <v>5</v>
      </c>
      <c r="M382">
        <v>10</v>
      </c>
      <c r="N382">
        <v>16</v>
      </c>
      <c r="O382">
        <v>8</v>
      </c>
      <c r="P382">
        <v>6</v>
      </c>
      <c r="Q382">
        <v>17</v>
      </c>
      <c r="R382">
        <v>17</v>
      </c>
      <c r="S382">
        <v>51.4</v>
      </c>
      <c r="T382">
        <v>2025</v>
      </c>
    </row>
    <row r="383" spans="1:20" x14ac:dyDescent="0.25">
      <c r="A383" t="s">
        <v>45</v>
      </c>
      <c r="B383" t="s">
        <v>218</v>
      </c>
      <c r="C383">
        <v>39.223016357895901</v>
      </c>
      <c r="D383">
        <v>23.755723953247099</v>
      </c>
      <c r="E383">
        <v>41.915227472782142</v>
      </c>
      <c r="F383">
        <v>16.2081622518599</v>
      </c>
      <c r="H383" s="1">
        <v>45897</v>
      </c>
      <c r="I383" t="s">
        <v>8</v>
      </c>
      <c r="J383">
        <v>105</v>
      </c>
      <c r="K383" s="2">
        <v>5.8</v>
      </c>
      <c r="L383">
        <v>2.8</v>
      </c>
      <c r="M383">
        <v>15</v>
      </c>
      <c r="N383">
        <v>13</v>
      </c>
      <c r="O383">
        <v>13</v>
      </c>
      <c r="P383">
        <v>16</v>
      </c>
      <c r="Q383">
        <v>13</v>
      </c>
      <c r="R383">
        <v>17</v>
      </c>
      <c r="S383">
        <v>51.4</v>
      </c>
      <c r="T383">
        <v>2025</v>
      </c>
    </row>
    <row r="384" spans="1:20" x14ac:dyDescent="0.25">
      <c r="A384" t="s">
        <v>45</v>
      </c>
      <c r="B384" t="s">
        <v>218</v>
      </c>
      <c r="C384">
        <v>39.223016357895901</v>
      </c>
      <c r="D384">
        <v>23.755723953247099</v>
      </c>
      <c r="E384">
        <v>41.915227472782142</v>
      </c>
      <c r="F384">
        <v>16.2081622518599</v>
      </c>
      <c r="H384" s="1">
        <v>45897</v>
      </c>
      <c r="I384" t="s">
        <v>9</v>
      </c>
      <c r="J384">
        <v>120</v>
      </c>
      <c r="K384" s="2">
        <v>8.1999999999999993</v>
      </c>
      <c r="L384">
        <v>6.4</v>
      </c>
      <c r="M384">
        <v>17</v>
      </c>
      <c r="N384">
        <v>17</v>
      </c>
      <c r="O384">
        <v>15</v>
      </c>
      <c r="P384">
        <v>14</v>
      </c>
      <c r="Q384">
        <v>17</v>
      </c>
      <c r="R384">
        <v>17</v>
      </c>
      <c r="S384">
        <v>51.4</v>
      </c>
      <c r="T384">
        <v>2025</v>
      </c>
    </row>
    <row r="385" spans="1:20" x14ac:dyDescent="0.25">
      <c r="A385" t="s">
        <v>45</v>
      </c>
      <c r="B385" t="s">
        <v>218</v>
      </c>
      <c r="C385">
        <v>39.223016357895901</v>
      </c>
      <c r="D385">
        <v>23.755723953247099</v>
      </c>
      <c r="E385">
        <v>41.915227472782142</v>
      </c>
      <c r="F385">
        <v>16.2081622518599</v>
      </c>
      <c r="H385" s="1">
        <v>45897</v>
      </c>
      <c r="I385" t="s">
        <v>10</v>
      </c>
      <c r="J385">
        <v>135</v>
      </c>
      <c r="K385" s="2">
        <v>7</v>
      </c>
      <c r="L385">
        <v>4.9000000000000004</v>
      </c>
      <c r="M385">
        <v>17</v>
      </c>
      <c r="N385">
        <v>12</v>
      </c>
      <c r="O385">
        <v>15</v>
      </c>
      <c r="P385">
        <v>12</v>
      </c>
      <c r="Q385">
        <v>17</v>
      </c>
      <c r="R385">
        <v>17</v>
      </c>
      <c r="S385">
        <v>51.4</v>
      </c>
      <c r="T385">
        <v>2025</v>
      </c>
    </row>
    <row r="386" spans="1:20" x14ac:dyDescent="0.25">
      <c r="A386" t="s">
        <v>45</v>
      </c>
      <c r="B386" t="s">
        <v>218</v>
      </c>
      <c r="C386">
        <v>39.223016357895901</v>
      </c>
      <c r="D386">
        <v>23.755723953247099</v>
      </c>
      <c r="E386">
        <v>41.915227472782142</v>
      </c>
      <c r="F386">
        <v>16.2081622518599</v>
      </c>
      <c r="H386" s="1">
        <v>45897</v>
      </c>
      <c r="I386" t="s">
        <v>11</v>
      </c>
      <c r="J386">
        <v>150</v>
      </c>
      <c r="K386" s="2">
        <v>5</v>
      </c>
      <c r="L386">
        <v>4.8</v>
      </c>
      <c r="M386">
        <v>17</v>
      </c>
      <c r="N386">
        <v>3</v>
      </c>
      <c r="O386">
        <v>17</v>
      </c>
      <c r="P386">
        <v>13</v>
      </c>
      <c r="Q386">
        <v>17</v>
      </c>
      <c r="R386">
        <v>17</v>
      </c>
      <c r="S386">
        <v>51.4</v>
      </c>
      <c r="T386">
        <v>2025</v>
      </c>
    </row>
    <row r="387" spans="1:20" x14ac:dyDescent="0.25">
      <c r="A387" t="s">
        <v>46</v>
      </c>
      <c r="B387" t="s">
        <v>255</v>
      </c>
      <c r="C387">
        <v>69.384772948851094</v>
      </c>
      <c r="D387">
        <v>42.0156440734863</v>
      </c>
      <c r="E387">
        <v>74.012754112482028</v>
      </c>
      <c r="F387">
        <v>2.719381661154336</v>
      </c>
      <c r="H387" s="1">
        <v>45904</v>
      </c>
      <c r="I387" t="s">
        <v>0</v>
      </c>
      <c r="J387">
        <v>0</v>
      </c>
      <c r="K387" s="2">
        <v>6.5</v>
      </c>
      <c r="L387">
        <v>6.3</v>
      </c>
      <c r="M387">
        <v>17</v>
      </c>
      <c r="N387">
        <v>7</v>
      </c>
      <c r="O387">
        <v>0</v>
      </c>
      <c r="P387">
        <v>0</v>
      </c>
      <c r="Q387">
        <v>8</v>
      </c>
      <c r="R387">
        <v>17</v>
      </c>
      <c r="S387">
        <v>22</v>
      </c>
      <c r="T387">
        <v>2025</v>
      </c>
    </row>
    <row r="388" spans="1:20" x14ac:dyDescent="0.25">
      <c r="A388" t="s">
        <v>46</v>
      </c>
      <c r="B388" t="s">
        <v>255</v>
      </c>
      <c r="C388">
        <v>69.384772948851094</v>
      </c>
      <c r="D388">
        <v>42.0156440734863</v>
      </c>
      <c r="E388">
        <v>74.012754112482028</v>
      </c>
      <c r="F388">
        <v>2.719381661154336</v>
      </c>
      <c r="H388" s="1">
        <v>45904</v>
      </c>
      <c r="I388" t="s">
        <v>1</v>
      </c>
      <c r="J388">
        <v>15</v>
      </c>
      <c r="K388" s="2">
        <v>6.4</v>
      </c>
      <c r="L388">
        <v>5.9</v>
      </c>
      <c r="M388">
        <v>14</v>
      </c>
      <c r="N388">
        <v>4</v>
      </c>
      <c r="O388">
        <v>3</v>
      </c>
      <c r="P388">
        <v>0</v>
      </c>
      <c r="Q388">
        <v>15</v>
      </c>
      <c r="R388">
        <v>17</v>
      </c>
      <c r="S388">
        <v>22</v>
      </c>
      <c r="T388">
        <v>2025</v>
      </c>
    </row>
    <row r="389" spans="1:20" x14ac:dyDescent="0.25">
      <c r="A389" t="s">
        <v>46</v>
      </c>
      <c r="B389" t="s">
        <v>255</v>
      </c>
      <c r="C389">
        <v>69.384772948851094</v>
      </c>
      <c r="D389">
        <v>42.0156440734863</v>
      </c>
      <c r="E389">
        <v>74.012754112482028</v>
      </c>
      <c r="F389">
        <v>2.719381661154336</v>
      </c>
      <c r="H389" s="1">
        <v>45904</v>
      </c>
      <c r="I389" t="s">
        <v>3</v>
      </c>
      <c r="J389">
        <v>30</v>
      </c>
      <c r="K389" s="2">
        <v>5.5</v>
      </c>
      <c r="L389">
        <v>5</v>
      </c>
      <c r="M389">
        <v>15</v>
      </c>
      <c r="N389">
        <v>4</v>
      </c>
      <c r="O389">
        <v>3</v>
      </c>
      <c r="P389">
        <v>1</v>
      </c>
      <c r="Q389">
        <v>11</v>
      </c>
      <c r="R389">
        <v>17</v>
      </c>
      <c r="S389">
        <v>22</v>
      </c>
      <c r="T389">
        <v>2025</v>
      </c>
    </row>
    <row r="390" spans="1:20" x14ac:dyDescent="0.25">
      <c r="A390" t="s">
        <v>46</v>
      </c>
      <c r="B390" t="s">
        <v>255</v>
      </c>
      <c r="C390">
        <v>69.384772948851094</v>
      </c>
      <c r="D390">
        <v>42.0156440734863</v>
      </c>
      <c r="E390">
        <v>74.012754112482028</v>
      </c>
      <c r="F390">
        <v>2.719381661154336</v>
      </c>
      <c r="H390" s="1">
        <v>45904</v>
      </c>
      <c r="I390" t="s">
        <v>4</v>
      </c>
      <c r="J390">
        <v>45</v>
      </c>
      <c r="K390" s="2">
        <v>6.4</v>
      </c>
      <c r="L390">
        <v>6</v>
      </c>
      <c r="M390">
        <v>7</v>
      </c>
      <c r="N390">
        <v>4</v>
      </c>
      <c r="O390">
        <v>0</v>
      </c>
      <c r="P390">
        <v>5</v>
      </c>
      <c r="Q390">
        <v>10</v>
      </c>
      <c r="R390">
        <v>17</v>
      </c>
      <c r="S390">
        <v>22</v>
      </c>
      <c r="T390">
        <v>2025</v>
      </c>
    </row>
    <row r="391" spans="1:20" x14ac:dyDescent="0.25">
      <c r="A391" t="s">
        <v>46</v>
      </c>
      <c r="B391" t="s">
        <v>255</v>
      </c>
      <c r="C391">
        <v>69.384772948851094</v>
      </c>
      <c r="D391">
        <v>42.0156440734863</v>
      </c>
      <c r="E391">
        <v>74.012754112482028</v>
      </c>
      <c r="F391">
        <v>2.719381661154336</v>
      </c>
      <c r="H391" s="1">
        <v>45904</v>
      </c>
      <c r="I391" t="s">
        <v>5</v>
      </c>
      <c r="J391">
        <v>60</v>
      </c>
      <c r="K391" s="2">
        <v>6.4</v>
      </c>
      <c r="L391">
        <v>4.9000000000000004</v>
      </c>
      <c r="M391">
        <v>9</v>
      </c>
      <c r="N391">
        <v>5</v>
      </c>
      <c r="O391">
        <v>5</v>
      </c>
      <c r="P391">
        <v>2</v>
      </c>
      <c r="Q391">
        <v>7</v>
      </c>
      <c r="R391">
        <v>17</v>
      </c>
      <c r="S391">
        <v>22</v>
      </c>
      <c r="T391">
        <v>2025</v>
      </c>
    </row>
    <row r="392" spans="1:20" x14ac:dyDescent="0.25">
      <c r="A392" t="s">
        <v>46</v>
      </c>
      <c r="B392" t="s">
        <v>255</v>
      </c>
      <c r="C392">
        <v>69.384772948851094</v>
      </c>
      <c r="D392">
        <v>42.0156440734863</v>
      </c>
      <c r="E392">
        <v>74.012754112482028</v>
      </c>
      <c r="F392">
        <v>2.719381661154336</v>
      </c>
      <c r="H392" s="1">
        <v>45904</v>
      </c>
      <c r="I392" t="s">
        <v>6</v>
      </c>
      <c r="J392">
        <v>75</v>
      </c>
      <c r="K392" s="2">
        <v>4.3</v>
      </c>
      <c r="L392">
        <v>3.8</v>
      </c>
      <c r="M392">
        <v>13</v>
      </c>
      <c r="N392">
        <v>5</v>
      </c>
      <c r="O392">
        <v>6</v>
      </c>
      <c r="P392">
        <v>17</v>
      </c>
      <c r="Q392">
        <v>5</v>
      </c>
      <c r="R392">
        <v>17</v>
      </c>
      <c r="S392">
        <v>22</v>
      </c>
      <c r="T392">
        <v>2025</v>
      </c>
    </row>
    <row r="393" spans="1:20" x14ac:dyDescent="0.25">
      <c r="A393" t="s">
        <v>46</v>
      </c>
      <c r="B393" t="s">
        <v>255</v>
      </c>
      <c r="C393">
        <v>69.384772948851094</v>
      </c>
      <c r="D393">
        <v>42.0156440734863</v>
      </c>
      <c r="E393">
        <v>74.012754112482028</v>
      </c>
      <c r="F393">
        <v>2.719381661154336</v>
      </c>
      <c r="H393" s="1">
        <v>45904</v>
      </c>
      <c r="I393" t="s">
        <v>7</v>
      </c>
      <c r="J393">
        <v>90</v>
      </c>
      <c r="K393" s="2">
        <v>7.3</v>
      </c>
      <c r="L393">
        <v>6</v>
      </c>
      <c r="M393">
        <v>17</v>
      </c>
      <c r="N393">
        <v>2</v>
      </c>
      <c r="O393">
        <v>11</v>
      </c>
      <c r="P393">
        <v>0</v>
      </c>
      <c r="Q393">
        <v>9</v>
      </c>
      <c r="R393">
        <v>10</v>
      </c>
      <c r="S393">
        <v>22</v>
      </c>
      <c r="T393">
        <v>2025</v>
      </c>
    </row>
    <row r="394" spans="1:20" x14ac:dyDescent="0.25">
      <c r="A394" t="s">
        <v>46</v>
      </c>
      <c r="B394" t="s">
        <v>255</v>
      </c>
      <c r="C394">
        <v>69.384772948851094</v>
      </c>
      <c r="D394">
        <v>42.0156440734863</v>
      </c>
      <c r="E394">
        <v>74.012754112482028</v>
      </c>
      <c r="F394">
        <v>2.719381661154336</v>
      </c>
      <c r="H394" s="1">
        <v>45904</v>
      </c>
      <c r="I394" t="s">
        <v>8</v>
      </c>
      <c r="J394">
        <v>105</v>
      </c>
      <c r="K394" s="2">
        <v>9.6999999999999993</v>
      </c>
      <c r="L394">
        <v>8.1999999999999993</v>
      </c>
      <c r="M394">
        <v>17</v>
      </c>
      <c r="N394">
        <v>1</v>
      </c>
      <c r="O394">
        <v>13</v>
      </c>
      <c r="P394">
        <v>13</v>
      </c>
      <c r="Q394">
        <v>5</v>
      </c>
      <c r="R394">
        <v>17</v>
      </c>
      <c r="S394">
        <v>22</v>
      </c>
      <c r="T394">
        <v>2025</v>
      </c>
    </row>
    <row r="395" spans="1:20" x14ac:dyDescent="0.25">
      <c r="A395" t="s">
        <v>46</v>
      </c>
      <c r="B395" t="s">
        <v>255</v>
      </c>
      <c r="C395">
        <v>69.384772948851094</v>
      </c>
      <c r="D395">
        <v>42.0156440734863</v>
      </c>
      <c r="E395">
        <v>74.012754112482028</v>
      </c>
      <c r="F395">
        <v>2.719381661154336</v>
      </c>
      <c r="H395" s="1">
        <v>45904</v>
      </c>
      <c r="I395" t="s">
        <v>9</v>
      </c>
      <c r="J395">
        <v>120</v>
      </c>
      <c r="K395" s="2">
        <v>8</v>
      </c>
      <c r="L395">
        <v>7.5</v>
      </c>
      <c r="M395">
        <v>15</v>
      </c>
      <c r="N395">
        <v>11</v>
      </c>
      <c r="O395">
        <v>2</v>
      </c>
      <c r="P395">
        <v>11</v>
      </c>
      <c r="Q395">
        <v>8</v>
      </c>
      <c r="R395">
        <v>17</v>
      </c>
      <c r="S395">
        <v>22</v>
      </c>
      <c r="T395">
        <v>2025</v>
      </c>
    </row>
    <row r="396" spans="1:20" x14ac:dyDescent="0.25">
      <c r="A396" t="s">
        <v>46</v>
      </c>
      <c r="B396" t="s">
        <v>255</v>
      </c>
      <c r="C396">
        <v>69.384772948851094</v>
      </c>
      <c r="D396">
        <v>42.0156440734863</v>
      </c>
      <c r="E396">
        <v>74.012754112482028</v>
      </c>
      <c r="F396">
        <v>2.719381661154336</v>
      </c>
      <c r="H396" s="1">
        <v>45904</v>
      </c>
      <c r="I396" t="s">
        <v>10</v>
      </c>
      <c r="J396">
        <v>135</v>
      </c>
      <c r="K396" s="2">
        <v>10</v>
      </c>
      <c r="L396">
        <v>9.6999999999999993</v>
      </c>
      <c r="M396">
        <v>17</v>
      </c>
      <c r="N396">
        <v>9</v>
      </c>
      <c r="O396">
        <v>13</v>
      </c>
      <c r="P396">
        <v>16</v>
      </c>
      <c r="Q396">
        <v>13</v>
      </c>
      <c r="R396">
        <v>17</v>
      </c>
      <c r="S396">
        <v>22</v>
      </c>
      <c r="T396">
        <v>2025</v>
      </c>
    </row>
    <row r="397" spans="1:20" x14ac:dyDescent="0.25">
      <c r="A397" t="s">
        <v>46</v>
      </c>
      <c r="B397" t="s">
        <v>255</v>
      </c>
      <c r="C397">
        <v>69.384772948851094</v>
      </c>
      <c r="D397">
        <v>42.0156440734863</v>
      </c>
      <c r="E397">
        <v>74.012754112482028</v>
      </c>
      <c r="F397">
        <v>2.719381661154336</v>
      </c>
      <c r="H397" s="1">
        <v>45904</v>
      </c>
      <c r="I397" t="s">
        <v>11</v>
      </c>
      <c r="J397">
        <v>150</v>
      </c>
      <c r="K397" s="2">
        <v>9.6999999999999993</v>
      </c>
      <c r="L397">
        <v>4.7</v>
      </c>
      <c r="M397">
        <v>17</v>
      </c>
      <c r="N397">
        <v>17</v>
      </c>
      <c r="O397">
        <v>17</v>
      </c>
      <c r="P397">
        <v>17</v>
      </c>
      <c r="Q397">
        <v>17</v>
      </c>
      <c r="R397">
        <v>17</v>
      </c>
      <c r="S397">
        <v>22</v>
      </c>
      <c r="T397">
        <v>2025</v>
      </c>
    </row>
    <row r="398" spans="1:20" x14ac:dyDescent="0.25">
      <c r="A398" t="s">
        <v>47</v>
      </c>
      <c r="B398" t="s">
        <v>164</v>
      </c>
      <c r="C398">
        <v>1.22627827171305</v>
      </c>
      <c r="D398">
        <v>21.5356140136719</v>
      </c>
      <c r="E398">
        <v>36.715687811374643</v>
      </c>
      <c r="F398">
        <v>26.748558506369559</v>
      </c>
      <c r="H398" s="1">
        <v>45959</v>
      </c>
      <c r="I398" t="s">
        <v>0</v>
      </c>
      <c r="J398">
        <v>0</v>
      </c>
      <c r="K398" s="2">
        <v>1.5</v>
      </c>
      <c r="L398">
        <v>1.3</v>
      </c>
      <c r="M398">
        <v>17</v>
      </c>
      <c r="N398">
        <v>17</v>
      </c>
      <c r="O398">
        <v>17</v>
      </c>
      <c r="P398">
        <v>17</v>
      </c>
      <c r="Q398">
        <v>17</v>
      </c>
      <c r="R398">
        <v>17</v>
      </c>
      <c r="S398">
        <v>47</v>
      </c>
      <c r="T398">
        <v>2025</v>
      </c>
    </row>
    <row r="399" spans="1:20" x14ac:dyDescent="0.25">
      <c r="A399" t="s">
        <v>47</v>
      </c>
      <c r="B399" t="s">
        <v>164</v>
      </c>
      <c r="C399">
        <v>1.22627827171305</v>
      </c>
      <c r="D399">
        <v>21.5356140136719</v>
      </c>
      <c r="E399">
        <v>36.715687811374643</v>
      </c>
      <c r="F399">
        <v>26.748558506369559</v>
      </c>
      <c r="H399" s="1">
        <v>45959</v>
      </c>
      <c r="I399" t="s">
        <v>1</v>
      </c>
      <c r="J399">
        <v>15</v>
      </c>
      <c r="K399" s="2">
        <v>2.5</v>
      </c>
      <c r="L399">
        <v>0.7</v>
      </c>
      <c r="M399">
        <v>17</v>
      </c>
      <c r="N399">
        <v>17</v>
      </c>
      <c r="O399">
        <v>17</v>
      </c>
      <c r="P399">
        <v>17</v>
      </c>
      <c r="Q399">
        <v>17</v>
      </c>
      <c r="R399">
        <v>16</v>
      </c>
      <c r="S399">
        <v>47</v>
      </c>
      <c r="T399">
        <v>2025</v>
      </c>
    </row>
    <row r="400" spans="1:20" x14ac:dyDescent="0.25">
      <c r="A400" t="s">
        <v>47</v>
      </c>
      <c r="B400" t="s">
        <v>164</v>
      </c>
      <c r="C400">
        <v>1.22627827171305</v>
      </c>
      <c r="D400">
        <v>21.5356140136719</v>
      </c>
      <c r="E400">
        <v>36.715687811374643</v>
      </c>
      <c r="F400">
        <v>26.748558506369559</v>
      </c>
      <c r="H400" s="1">
        <v>45959</v>
      </c>
      <c r="I400" t="s">
        <v>3</v>
      </c>
      <c r="J400">
        <v>30</v>
      </c>
      <c r="K400" s="2">
        <v>1.5</v>
      </c>
      <c r="L400">
        <v>1.2</v>
      </c>
      <c r="M400">
        <v>17</v>
      </c>
      <c r="N400">
        <v>17</v>
      </c>
      <c r="O400">
        <v>17</v>
      </c>
      <c r="P400">
        <v>17</v>
      </c>
      <c r="Q400">
        <v>17</v>
      </c>
      <c r="R400">
        <v>17</v>
      </c>
      <c r="S400">
        <v>47</v>
      </c>
      <c r="T400">
        <v>2025</v>
      </c>
    </row>
    <row r="401" spans="1:20" x14ac:dyDescent="0.25">
      <c r="A401" t="s">
        <v>47</v>
      </c>
      <c r="B401" t="s">
        <v>164</v>
      </c>
      <c r="C401">
        <v>1.22627827171305</v>
      </c>
      <c r="D401">
        <v>21.5356140136719</v>
      </c>
      <c r="E401">
        <v>36.715687811374643</v>
      </c>
      <c r="F401">
        <v>26.748558506369559</v>
      </c>
      <c r="H401" s="1">
        <v>45959</v>
      </c>
      <c r="I401" t="s">
        <v>4</v>
      </c>
      <c r="J401">
        <v>45</v>
      </c>
      <c r="K401" s="2">
        <v>2</v>
      </c>
      <c r="L401">
        <v>1.3</v>
      </c>
      <c r="M401">
        <v>17</v>
      </c>
      <c r="N401">
        <v>15</v>
      </c>
      <c r="O401">
        <v>17</v>
      </c>
      <c r="P401">
        <v>17</v>
      </c>
      <c r="Q401">
        <v>16</v>
      </c>
      <c r="R401">
        <v>17</v>
      </c>
      <c r="S401">
        <v>47</v>
      </c>
      <c r="T401">
        <v>2025</v>
      </c>
    </row>
    <row r="402" spans="1:20" x14ac:dyDescent="0.25">
      <c r="A402" t="s">
        <v>47</v>
      </c>
      <c r="B402" t="s">
        <v>164</v>
      </c>
      <c r="C402">
        <v>1.22627827171305</v>
      </c>
      <c r="D402">
        <v>21.5356140136719</v>
      </c>
      <c r="E402">
        <v>36.715687811374643</v>
      </c>
      <c r="F402">
        <v>26.748558506369559</v>
      </c>
      <c r="H402" s="1">
        <v>45959</v>
      </c>
      <c r="I402" t="s">
        <v>5</v>
      </c>
      <c r="J402">
        <v>60</v>
      </c>
      <c r="K402" s="2">
        <v>1.5</v>
      </c>
      <c r="L402">
        <v>0.9</v>
      </c>
      <c r="M402">
        <v>17</v>
      </c>
      <c r="N402">
        <v>14</v>
      </c>
      <c r="O402">
        <v>17</v>
      </c>
      <c r="P402">
        <v>17</v>
      </c>
      <c r="Q402">
        <v>17</v>
      </c>
      <c r="R402">
        <v>17</v>
      </c>
      <c r="S402">
        <v>47</v>
      </c>
      <c r="T402">
        <v>2025</v>
      </c>
    </row>
    <row r="403" spans="1:20" x14ac:dyDescent="0.25">
      <c r="A403" t="s">
        <v>47</v>
      </c>
      <c r="B403" t="s">
        <v>164</v>
      </c>
      <c r="C403">
        <v>1.22627827171305</v>
      </c>
      <c r="D403">
        <v>21.5356140136719</v>
      </c>
      <c r="E403">
        <v>36.715687811374643</v>
      </c>
      <c r="F403">
        <v>26.748558506369559</v>
      </c>
      <c r="H403" s="1">
        <v>45959</v>
      </c>
      <c r="I403" t="s">
        <v>6</v>
      </c>
      <c r="J403">
        <v>75</v>
      </c>
      <c r="K403" s="2">
        <v>1.4</v>
      </c>
      <c r="L403">
        <v>0.9</v>
      </c>
      <c r="M403">
        <v>17</v>
      </c>
      <c r="N403">
        <v>14</v>
      </c>
      <c r="O403">
        <v>13</v>
      </c>
      <c r="P403">
        <v>17</v>
      </c>
      <c r="Q403">
        <v>14</v>
      </c>
      <c r="R403">
        <v>17</v>
      </c>
      <c r="S403">
        <v>47</v>
      </c>
      <c r="T403">
        <v>2025</v>
      </c>
    </row>
    <row r="404" spans="1:20" x14ac:dyDescent="0.25">
      <c r="A404" t="s">
        <v>47</v>
      </c>
      <c r="B404" t="s">
        <v>164</v>
      </c>
      <c r="C404">
        <v>1.22627827171305</v>
      </c>
      <c r="D404">
        <v>21.5356140136719</v>
      </c>
      <c r="E404">
        <v>36.715687811374643</v>
      </c>
      <c r="F404">
        <v>26.748558506369559</v>
      </c>
      <c r="H404" s="1">
        <v>45959</v>
      </c>
      <c r="I404" t="s">
        <v>7</v>
      </c>
      <c r="J404">
        <v>90</v>
      </c>
      <c r="K404" s="2">
        <v>1.9</v>
      </c>
      <c r="L404">
        <v>1.2</v>
      </c>
      <c r="M404">
        <v>17</v>
      </c>
      <c r="N404">
        <v>16</v>
      </c>
      <c r="O404">
        <v>17</v>
      </c>
      <c r="P404">
        <v>17</v>
      </c>
      <c r="Q404">
        <v>17</v>
      </c>
      <c r="R404">
        <v>17</v>
      </c>
      <c r="S404">
        <v>47</v>
      </c>
      <c r="T404">
        <v>2025</v>
      </c>
    </row>
    <row r="405" spans="1:20" x14ac:dyDescent="0.25">
      <c r="A405" t="s">
        <v>47</v>
      </c>
      <c r="B405" t="s">
        <v>164</v>
      </c>
      <c r="C405">
        <v>1.22627827171305</v>
      </c>
      <c r="D405">
        <v>21.5356140136719</v>
      </c>
      <c r="E405">
        <v>36.715687811374643</v>
      </c>
      <c r="F405">
        <v>26.748558506369559</v>
      </c>
      <c r="H405" s="1">
        <v>45959</v>
      </c>
      <c r="I405" t="s">
        <v>8</v>
      </c>
      <c r="J405">
        <v>105</v>
      </c>
      <c r="K405" s="2">
        <v>3.2</v>
      </c>
      <c r="L405">
        <v>1</v>
      </c>
      <c r="M405">
        <v>17</v>
      </c>
      <c r="N405">
        <v>10</v>
      </c>
      <c r="O405">
        <v>17</v>
      </c>
      <c r="P405">
        <v>12</v>
      </c>
      <c r="Q405">
        <v>16</v>
      </c>
      <c r="R405">
        <v>17</v>
      </c>
      <c r="S405">
        <v>47</v>
      </c>
      <c r="T405">
        <v>2025</v>
      </c>
    </row>
    <row r="406" spans="1:20" x14ac:dyDescent="0.25">
      <c r="A406" t="s">
        <v>47</v>
      </c>
      <c r="B406" t="s">
        <v>164</v>
      </c>
      <c r="C406">
        <v>1.22627827171305</v>
      </c>
      <c r="D406">
        <v>21.5356140136719</v>
      </c>
      <c r="E406">
        <v>36.715687811374643</v>
      </c>
      <c r="F406">
        <v>26.748558506369559</v>
      </c>
      <c r="H406" s="1">
        <v>45959</v>
      </c>
      <c r="I406" t="s">
        <v>9</v>
      </c>
      <c r="J406">
        <v>120</v>
      </c>
      <c r="K406" s="2">
        <v>2.9</v>
      </c>
      <c r="L406">
        <v>1.3</v>
      </c>
      <c r="M406">
        <v>17</v>
      </c>
      <c r="N406">
        <v>16</v>
      </c>
      <c r="O406">
        <v>17</v>
      </c>
      <c r="P406">
        <v>17</v>
      </c>
      <c r="Q406">
        <v>17</v>
      </c>
      <c r="R406">
        <v>17</v>
      </c>
      <c r="S406">
        <v>47</v>
      </c>
      <c r="T406">
        <v>2025</v>
      </c>
    </row>
    <row r="407" spans="1:20" x14ac:dyDescent="0.25">
      <c r="A407" t="s">
        <v>47</v>
      </c>
      <c r="B407" t="s">
        <v>164</v>
      </c>
      <c r="C407">
        <v>1.22627827171305</v>
      </c>
      <c r="D407">
        <v>21.5356140136719</v>
      </c>
      <c r="E407">
        <v>36.715687811374643</v>
      </c>
      <c r="F407">
        <v>26.748558506369559</v>
      </c>
      <c r="H407" s="1">
        <v>45959</v>
      </c>
      <c r="I407" t="s">
        <v>10</v>
      </c>
      <c r="J407">
        <v>135</v>
      </c>
      <c r="K407" s="2">
        <v>1.8</v>
      </c>
      <c r="L407">
        <v>1.6</v>
      </c>
      <c r="M407">
        <v>17</v>
      </c>
      <c r="N407">
        <v>17</v>
      </c>
      <c r="O407">
        <v>17</v>
      </c>
      <c r="P407">
        <v>16</v>
      </c>
      <c r="Q407">
        <v>17</v>
      </c>
      <c r="R407">
        <v>17</v>
      </c>
      <c r="S407">
        <v>47</v>
      </c>
      <c r="T407">
        <v>2025</v>
      </c>
    </row>
    <row r="408" spans="1:20" x14ac:dyDescent="0.25">
      <c r="A408" t="s">
        <v>47</v>
      </c>
      <c r="B408" t="s">
        <v>164</v>
      </c>
      <c r="C408">
        <v>1.22627827171305</v>
      </c>
      <c r="D408">
        <v>21.5356140136719</v>
      </c>
      <c r="E408">
        <v>36.715687811374643</v>
      </c>
      <c r="F408">
        <v>26.748558506369559</v>
      </c>
      <c r="H408" s="1">
        <v>45959</v>
      </c>
      <c r="I408" t="s">
        <v>11</v>
      </c>
      <c r="J408">
        <v>150</v>
      </c>
      <c r="K408" s="2">
        <v>1.7</v>
      </c>
      <c r="L408">
        <v>2</v>
      </c>
      <c r="M408">
        <v>17</v>
      </c>
      <c r="N408">
        <v>17</v>
      </c>
      <c r="O408">
        <v>17</v>
      </c>
      <c r="P408">
        <v>17</v>
      </c>
      <c r="Q408">
        <v>16</v>
      </c>
      <c r="R408">
        <v>17</v>
      </c>
      <c r="S408">
        <v>47</v>
      </c>
      <c r="T408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9723-213C-472F-A2C7-64DC4BB4A933}">
  <dimension ref="A1:BK53"/>
  <sheetViews>
    <sheetView workbookViewId="0">
      <selection activeCell="N1" sqref="N1:N1048576"/>
    </sheetView>
  </sheetViews>
  <sheetFormatPr defaultRowHeight="15" x14ac:dyDescent="0.25"/>
  <cols>
    <col min="14" max="14" width="23.28515625" customWidth="1"/>
  </cols>
  <sheetData>
    <row r="1" spans="1:63" x14ac:dyDescent="0.25">
      <c r="A1" t="s">
        <v>455</v>
      </c>
      <c r="B1" t="s">
        <v>456</v>
      </c>
      <c r="C1" t="s">
        <v>457</v>
      </c>
      <c r="D1" t="s">
        <v>458</v>
      </c>
      <c r="E1" t="s">
        <v>459</v>
      </c>
      <c r="F1" t="s">
        <v>460</v>
      </c>
      <c r="G1" t="s">
        <v>461</v>
      </c>
      <c r="H1" t="s">
        <v>462</v>
      </c>
      <c r="I1" t="s">
        <v>463</v>
      </c>
      <c r="J1" t="s">
        <v>464</v>
      </c>
      <c r="K1" t="s">
        <v>465</v>
      </c>
      <c r="L1" t="s">
        <v>466</v>
      </c>
      <c r="M1" t="s">
        <v>467</v>
      </c>
      <c r="N1" t="s">
        <v>468</v>
      </c>
      <c r="O1" t="s">
        <v>469</v>
      </c>
      <c r="P1" t="s">
        <v>470</v>
      </c>
      <c r="Q1" t="s">
        <v>471</v>
      </c>
      <c r="R1" t="s">
        <v>472</v>
      </c>
      <c r="S1" t="s">
        <v>473</v>
      </c>
      <c r="T1" t="s">
        <v>474</v>
      </c>
      <c r="U1" t="s">
        <v>475</v>
      </c>
      <c r="V1" t="s">
        <v>476</v>
      </c>
      <c r="W1" t="s">
        <v>477</v>
      </c>
      <c r="X1" t="s">
        <v>478</v>
      </c>
      <c r="Y1" t="s">
        <v>479</v>
      </c>
      <c r="Z1" t="s">
        <v>480</v>
      </c>
      <c r="AA1" t="s">
        <v>481</v>
      </c>
      <c r="AB1" t="s">
        <v>482</v>
      </c>
      <c r="AC1" t="s">
        <v>483</v>
      </c>
      <c r="AD1" t="s">
        <v>484</v>
      </c>
      <c r="AE1" t="s">
        <v>485</v>
      </c>
      <c r="AF1" t="s">
        <v>486</v>
      </c>
      <c r="AG1" t="s">
        <v>487</v>
      </c>
      <c r="AH1" t="s">
        <v>488</v>
      </c>
      <c r="AI1" t="s">
        <v>489</v>
      </c>
      <c r="AJ1" t="s">
        <v>490</v>
      </c>
      <c r="AK1" t="s">
        <v>491</v>
      </c>
      <c r="AL1" t="s">
        <v>492</v>
      </c>
      <c r="AM1" t="s">
        <v>493</v>
      </c>
      <c r="AN1" t="s">
        <v>494</v>
      </c>
      <c r="AO1" t="s">
        <v>495</v>
      </c>
      <c r="AP1" t="s">
        <v>496</v>
      </c>
      <c r="AQ1" t="s">
        <v>497</v>
      </c>
      <c r="AR1" t="s">
        <v>498</v>
      </c>
      <c r="AS1" t="s">
        <v>499</v>
      </c>
      <c r="AT1" t="s">
        <v>500</v>
      </c>
      <c r="AU1" t="s">
        <v>501</v>
      </c>
      <c r="AV1" t="s">
        <v>502</v>
      </c>
      <c r="AW1" t="s">
        <v>503</v>
      </c>
      <c r="AX1" t="s">
        <v>504</v>
      </c>
      <c r="AY1" t="s">
        <v>505</v>
      </c>
      <c r="AZ1" t="s">
        <v>506</v>
      </c>
      <c r="BA1" t="s">
        <v>507</v>
      </c>
      <c r="BB1" t="s">
        <v>508</v>
      </c>
      <c r="BC1" t="s">
        <v>509</v>
      </c>
      <c r="BD1" t="s">
        <v>510</v>
      </c>
      <c r="BE1" t="s">
        <v>511</v>
      </c>
      <c r="BF1" t="s">
        <v>512</v>
      </c>
      <c r="BG1" t="s">
        <v>513</v>
      </c>
      <c r="BH1" t="s">
        <v>514</v>
      </c>
      <c r="BI1" t="s">
        <v>515</v>
      </c>
      <c r="BJ1" t="s">
        <v>516</v>
      </c>
      <c r="BK1" t="s">
        <v>517</v>
      </c>
    </row>
    <row r="2" spans="1:63" x14ac:dyDescent="0.25">
      <c r="A2">
        <v>1</v>
      </c>
      <c r="B2">
        <v>14300</v>
      </c>
      <c r="C2">
        <v>3492</v>
      </c>
      <c r="D2">
        <v>7</v>
      </c>
      <c r="E2" t="s">
        <v>518</v>
      </c>
      <c r="F2" t="s">
        <v>519</v>
      </c>
      <c r="G2" t="s">
        <v>520</v>
      </c>
      <c r="H2" t="s">
        <v>125</v>
      </c>
      <c r="I2" t="s">
        <v>521</v>
      </c>
      <c r="J2" t="s">
        <v>522</v>
      </c>
      <c r="K2" t="s">
        <v>22</v>
      </c>
      <c r="L2">
        <v>47.743071</v>
      </c>
      <c r="M2">
        <v>-121.941343</v>
      </c>
      <c r="N2" s="1">
        <v>45915</v>
      </c>
      <c r="O2" s="1">
        <v>46088</v>
      </c>
      <c r="P2" t="s">
        <v>523</v>
      </c>
      <c r="Q2">
        <v>8</v>
      </c>
      <c r="S2">
        <v>41</v>
      </c>
      <c r="U2">
        <v>7</v>
      </c>
      <c r="W2">
        <v>4</v>
      </c>
      <c r="Y2">
        <v>4</v>
      </c>
      <c r="AA2">
        <v>15</v>
      </c>
      <c r="AC2">
        <v>17</v>
      </c>
      <c r="AE2">
        <v>3</v>
      </c>
      <c r="AG2">
        <v>3</v>
      </c>
      <c r="AI2" s="68">
        <v>0.46600000000000003</v>
      </c>
      <c r="AK2" s="68">
        <v>1.7999999999999999E-2</v>
      </c>
      <c r="AM2" s="68">
        <v>0.16600000000000001</v>
      </c>
      <c r="AO2">
        <v>500</v>
      </c>
      <c r="AQ2">
        <v>45.4</v>
      </c>
      <c r="AS2">
        <v>4.8</v>
      </c>
      <c r="AU2">
        <v>8.6</v>
      </c>
      <c r="AW2">
        <v>4.3</v>
      </c>
      <c r="AY2">
        <v>3.8</v>
      </c>
      <c r="BA2">
        <v>5.9</v>
      </c>
      <c r="BC2">
        <v>1.2</v>
      </c>
      <c r="BE2">
        <v>4.3</v>
      </c>
      <c r="BG2">
        <v>6.1</v>
      </c>
      <c r="BI2">
        <v>0.4</v>
      </c>
      <c r="BK2">
        <v>6.1</v>
      </c>
    </row>
    <row r="3" spans="1:63" x14ac:dyDescent="0.25">
      <c r="A3">
        <v>2</v>
      </c>
      <c r="B3">
        <v>14241</v>
      </c>
      <c r="C3">
        <v>2376</v>
      </c>
      <c r="D3">
        <v>7</v>
      </c>
      <c r="E3" t="s">
        <v>518</v>
      </c>
      <c r="F3" t="s">
        <v>519</v>
      </c>
      <c r="G3" t="s">
        <v>524</v>
      </c>
      <c r="H3" t="s">
        <v>184</v>
      </c>
      <c r="I3" t="s">
        <v>521</v>
      </c>
      <c r="J3" t="s">
        <v>525</v>
      </c>
      <c r="K3" t="s">
        <v>18</v>
      </c>
      <c r="L3">
        <v>47.615841000000003</v>
      </c>
      <c r="M3">
        <v>-121.900707</v>
      </c>
      <c r="N3" s="1">
        <v>45889</v>
      </c>
      <c r="O3" s="1">
        <v>46050</v>
      </c>
      <c r="P3" t="s">
        <v>523</v>
      </c>
      <c r="Q3">
        <v>8</v>
      </c>
      <c r="S3">
        <v>49</v>
      </c>
      <c r="U3">
        <v>7</v>
      </c>
      <c r="W3">
        <v>7</v>
      </c>
      <c r="Y3">
        <v>9</v>
      </c>
      <c r="AA3">
        <v>23</v>
      </c>
      <c r="AC3">
        <v>29</v>
      </c>
      <c r="AE3">
        <v>8</v>
      </c>
      <c r="AG3">
        <v>5</v>
      </c>
      <c r="AI3" s="68">
        <v>0.38</v>
      </c>
      <c r="AK3" s="68">
        <v>9.1999999999999998E-2</v>
      </c>
      <c r="AM3" s="68">
        <v>8.0000000000000002E-3</v>
      </c>
      <c r="AO3">
        <v>500</v>
      </c>
      <c r="AQ3">
        <v>81.7</v>
      </c>
      <c r="AS3">
        <v>7.6</v>
      </c>
      <c r="AU3">
        <v>8.6</v>
      </c>
      <c r="AW3">
        <v>8.6</v>
      </c>
      <c r="AY3">
        <v>10</v>
      </c>
      <c r="BA3">
        <v>10</v>
      </c>
      <c r="BC3">
        <v>7.5</v>
      </c>
      <c r="BE3">
        <v>7.1</v>
      </c>
      <c r="BG3">
        <v>8.4</v>
      </c>
      <c r="BI3">
        <v>4.0999999999999996</v>
      </c>
      <c r="BK3">
        <v>9.8000000000000007</v>
      </c>
    </row>
    <row r="4" spans="1:63" x14ac:dyDescent="0.25">
      <c r="A4">
        <v>3</v>
      </c>
      <c r="B4">
        <v>14340</v>
      </c>
      <c r="C4">
        <v>3607</v>
      </c>
      <c r="D4">
        <v>7</v>
      </c>
      <c r="E4" t="s">
        <v>518</v>
      </c>
      <c r="F4" t="s">
        <v>519</v>
      </c>
      <c r="G4" t="s">
        <v>526</v>
      </c>
      <c r="H4" t="s">
        <v>527</v>
      </c>
      <c r="I4" t="s">
        <v>521</v>
      </c>
      <c r="J4" t="s">
        <v>522</v>
      </c>
      <c r="K4" t="s">
        <v>14</v>
      </c>
      <c r="L4">
        <v>47.526333000000001</v>
      </c>
      <c r="M4">
        <v>-121.837429</v>
      </c>
      <c r="N4" s="1">
        <v>45909</v>
      </c>
      <c r="O4" s="1">
        <v>46058</v>
      </c>
      <c r="P4" t="s">
        <v>523</v>
      </c>
      <c r="Q4">
        <v>8</v>
      </c>
      <c r="S4">
        <v>45</v>
      </c>
      <c r="U4">
        <v>7</v>
      </c>
      <c r="W4">
        <v>8</v>
      </c>
      <c r="Y4">
        <v>7</v>
      </c>
      <c r="AA4">
        <v>22</v>
      </c>
      <c r="AC4">
        <v>23</v>
      </c>
      <c r="AE4">
        <v>6</v>
      </c>
      <c r="AG4">
        <v>5</v>
      </c>
      <c r="AI4" s="68">
        <v>0.39600000000000002</v>
      </c>
      <c r="AK4" s="68">
        <v>0.104</v>
      </c>
      <c r="AM4" s="68">
        <v>3.4000000000000002E-2</v>
      </c>
      <c r="AO4">
        <v>500</v>
      </c>
      <c r="AQ4">
        <v>75.7</v>
      </c>
      <c r="AS4">
        <v>6.2</v>
      </c>
      <c r="AU4">
        <v>8.6</v>
      </c>
      <c r="AW4">
        <v>10</v>
      </c>
      <c r="AY4">
        <v>7.5</v>
      </c>
      <c r="BA4">
        <v>9.4</v>
      </c>
      <c r="BC4">
        <v>5</v>
      </c>
      <c r="BE4">
        <v>7.1</v>
      </c>
      <c r="BG4">
        <v>7.9</v>
      </c>
      <c r="BI4">
        <v>4.7</v>
      </c>
      <c r="BK4">
        <v>9.1999999999999993</v>
      </c>
    </row>
    <row r="5" spans="1:63" x14ac:dyDescent="0.25">
      <c r="A5">
        <v>4</v>
      </c>
      <c r="B5">
        <v>14291</v>
      </c>
      <c r="C5">
        <v>2603</v>
      </c>
      <c r="D5">
        <v>7</v>
      </c>
      <c r="E5" t="s">
        <v>518</v>
      </c>
      <c r="F5" t="s">
        <v>519</v>
      </c>
      <c r="G5" t="s">
        <v>526</v>
      </c>
      <c r="H5" t="s">
        <v>527</v>
      </c>
      <c r="I5" t="s">
        <v>521</v>
      </c>
      <c r="J5" t="s">
        <v>525</v>
      </c>
      <c r="K5" t="s">
        <v>357</v>
      </c>
      <c r="L5">
        <v>47.523696999999999</v>
      </c>
      <c r="M5">
        <v>-121.844634</v>
      </c>
      <c r="N5" s="1">
        <v>45911</v>
      </c>
      <c r="O5" s="1">
        <v>46088</v>
      </c>
      <c r="P5" t="s">
        <v>523</v>
      </c>
      <c r="Q5">
        <v>8</v>
      </c>
      <c r="S5">
        <v>58</v>
      </c>
      <c r="U5">
        <v>8</v>
      </c>
      <c r="W5">
        <v>6</v>
      </c>
      <c r="Y5">
        <v>8</v>
      </c>
      <c r="AA5">
        <v>22</v>
      </c>
      <c r="AC5">
        <v>28</v>
      </c>
      <c r="AE5">
        <v>7</v>
      </c>
      <c r="AG5">
        <v>6</v>
      </c>
      <c r="AI5" s="68">
        <v>0.35399999999999998</v>
      </c>
      <c r="AK5" s="68">
        <v>0.11799999999999999</v>
      </c>
      <c r="AM5" s="68">
        <v>0.08</v>
      </c>
      <c r="AO5">
        <v>500</v>
      </c>
      <c r="AQ5">
        <v>83.3</v>
      </c>
      <c r="AS5">
        <v>10</v>
      </c>
      <c r="AU5">
        <v>10</v>
      </c>
      <c r="AW5">
        <v>7.1</v>
      </c>
      <c r="AY5">
        <v>8.8000000000000007</v>
      </c>
      <c r="BA5">
        <v>10</v>
      </c>
      <c r="BC5">
        <v>6.2</v>
      </c>
      <c r="BE5">
        <v>8.6</v>
      </c>
      <c r="BG5">
        <v>9.1</v>
      </c>
      <c r="BI5">
        <v>5.4</v>
      </c>
      <c r="BK5">
        <v>8.1</v>
      </c>
    </row>
    <row r="6" spans="1:63" x14ac:dyDescent="0.25">
      <c r="A6">
        <v>5</v>
      </c>
      <c r="B6">
        <v>14165</v>
      </c>
      <c r="C6">
        <v>3494</v>
      </c>
      <c r="D6">
        <v>7</v>
      </c>
      <c r="E6" t="s">
        <v>518</v>
      </c>
      <c r="F6" t="s">
        <v>519</v>
      </c>
      <c r="G6" t="s">
        <v>528</v>
      </c>
      <c r="H6" t="s">
        <v>348</v>
      </c>
      <c r="I6" t="s">
        <v>521</v>
      </c>
      <c r="J6" t="s">
        <v>522</v>
      </c>
      <c r="K6" t="s">
        <v>17</v>
      </c>
      <c r="L6">
        <v>47.579661000000002</v>
      </c>
      <c r="M6">
        <v>-121.933707</v>
      </c>
      <c r="N6" s="1">
        <v>45873</v>
      </c>
      <c r="O6" s="1">
        <v>46050</v>
      </c>
      <c r="P6" t="s">
        <v>523</v>
      </c>
      <c r="Q6">
        <v>8</v>
      </c>
      <c r="S6">
        <v>31</v>
      </c>
      <c r="U6">
        <v>2</v>
      </c>
      <c r="W6">
        <v>6</v>
      </c>
      <c r="Y6">
        <v>4</v>
      </c>
      <c r="AA6">
        <v>12</v>
      </c>
      <c r="AC6">
        <v>15</v>
      </c>
      <c r="AE6">
        <v>5</v>
      </c>
      <c r="AG6">
        <v>2</v>
      </c>
      <c r="AI6" s="68">
        <v>0.59399999999999997</v>
      </c>
      <c r="AK6" s="68">
        <v>3.7999999999999999E-2</v>
      </c>
      <c r="AM6" s="68">
        <v>2.5999999999999999E-2</v>
      </c>
      <c r="AO6">
        <v>500</v>
      </c>
      <c r="AQ6">
        <v>38.4</v>
      </c>
      <c r="AS6">
        <v>1.4</v>
      </c>
      <c r="AU6">
        <v>1.4</v>
      </c>
      <c r="AW6">
        <v>7.1</v>
      </c>
      <c r="AY6">
        <v>3.8</v>
      </c>
      <c r="BA6">
        <v>4.7</v>
      </c>
      <c r="BC6">
        <v>3.8</v>
      </c>
      <c r="BE6">
        <v>2.9</v>
      </c>
      <c r="BG6">
        <v>2.6</v>
      </c>
      <c r="BI6">
        <v>1.4</v>
      </c>
      <c r="BK6">
        <v>9.4</v>
      </c>
    </row>
    <row r="7" spans="1:63" x14ac:dyDescent="0.25">
      <c r="A7">
        <v>6</v>
      </c>
      <c r="B7">
        <v>14423</v>
      </c>
      <c r="C7">
        <v>3097</v>
      </c>
      <c r="D7">
        <v>8</v>
      </c>
      <c r="E7" t="s">
        <v>529</v>
      </c>
      <c r="F7" t="s">
        <v>530</v>
      </c>
      <c r="G7" t="s">
        <v>531</v>
      </c>
      <c r="H7" t="s">
        <v>308</v>
      </c>
      <c r="I7" t="s">
        <v>532</v>
      </c>
      <c r="J7" t="s">
        <v>533</v>
      </c>
      <c r="K7" t="s">
        <v>23</v>
      </c>
      <c r="L7">
        <v>47.566099999999999</v>
      </c>
      <c r="M7">
        <v>-122.17870000000001</v>
      </c>
      <c r="N7" s="1">
        <v>45930</v>
      </c>
      <c r="O7" s="1">
        <v>46091</v>
      </c>
      <c r="P7" t="s">
        <v>523</v>
      </c>
      <c r="Q7">
        <v>8</v>
      </c>
      <c r="S7">
        <v>11</v>
      </c>
      <c r="U7">
        <v>0</v>
      </c>
      <c r="W7">
        <v>1</v>
      </c>
      <c r="Y7">
        <v>1</v>
      </c>
      <c r="AA7">
        <v>2</v>
      </c>
      <c r="AC7">
        <v>3</v>
      </c>
      <c r="AE7">
        <v>3</v>
      </c>
      <c r="AG7">
        <v>1</v>
      </c>
      <c r="AI7" s="68">
        <v>0.98</v>
      </c>
      <c r="AK7" s="68">
        <v>0</v>
      </c>
      <c r="AM7" s="68">
        <v>2E-3</v>
      </c>
      <c r="AO7">
        <v>500</v>
      </c>
      <c r="AQ7">
        <v>12.6</v>
      </c>
      <c r="AS7">
        <v>0</v>
      </c>
      <c r="AU7">
        <v>0</v>
      </c>
      <c r="AW7">
        <v>0</v>
      </c>
      <c r="AY7">
        <v>0</v>
      </c>
      <c r="BA7">
        <v>0</v>
      </c>
      <c r="BC7">
        <v>1.2</v>
      </c>
      <c r="BE7">
        <v>1.4</v>
      </c>
      <c r="BG7">
        <v>0</v>
      </c>
      <c r="BI7">
        <v>0</v>
      </c>
      <c r="BK7">
        <v>10</v>
      </c>
    </row>
    <row r="8" spans="1:63" x14ac:dyDescent="0.25">
      <c r="A8">
        <v>7</v>
      </c>
      <c r="B8">
        <v>14184</v>
      </c>
      <c r="C8">
        <v>3501</v>
      </c>
      <c r="D8">
        <v>8</v>
      </c>
      <c r="E8" t="s">
        <v>529</v>
      </c>
      <c r="F8" t="s">
        <v>530</v>
      </c>
      <c r="G8" t="s">
        <v>534</v>
      </c>
      <c r="H8" t="s">
        <v>535</v>
      </c>
      <c r="I8" t="s">
        <v>521</v>
      </c>
      <c r="J8" t="s">
        <v>522</v>
      </c>
      <c r="K8" t="s">
        <v>12</v>
      </c>
      <c r="L8">
        <v>47.645496000000001</v>
      </c>
      <c r="M8">
        <v>-122.202811</v>
      </c>
      <c r="N8" s="1">
        <v>45868</v>
      </c>
      <c r="O8" s="1">
        <v>46050</v>
      </c>
      <c r="P8" t="s">
        <v>523</v>
      </c>
      <c r="Q8">
        <v>8</v>
      </c>
      <c r="S8">
        <v>32</v>
      </c>
      <c r="U8">
        <v>2</v>
      </c>
      <c r="W8">
        <v>4</v>
      </c>
      <c r="Y8">
        <v>3</v>
      </c>
      <c r="AA8">
        <v>9</v>
      </c>
      <c r="AC8">
        <v>10</v>
      </c>
      <c r="AE8">
        <v>6</v>
      </c>
      <c r="AG8">
        <v>0</v>
      </c>
      <c r="AI8" s="68">
        <v>0.65800000000000003</v>
      </c>
      <c r="AK8" s="68">
        <v>0.11799999999999999</v>
      </c>
      <c r="AM8" s="68">
        <v>0.42599999999999999</v>
      </c>
      <c r="AO8">
        <v>500</v>
      </c>
      <c r="AQ8">
        <v>23.1</v>
      </c>
      <c r="AS8">
        <v>1.7</v>
      </c>
      <c r="AU8">
        <v>1.4</v>
      </c>
      <c r="AW8">
        <v>4.3</v>
      </c>
      <c r="AY8">
        <v>2.5</v>
      </c>
      <c r="BA8">
        <v>1.8</v>
      </c>
      <c r="BC8">
        <v>5</v>
      </c>
      <c r="BE8">
        <v>0</v>
      </c>
      <c r="BG8">
        <v>0.9</v>
      </c>
      <c r="BI8">
        <v>5.4</v>
      </c>
      <c r="BK8">
        <v>0.1</v>
      </c>
    </row>
    <row r="9" spans="1:63" x14ac:dyDescent="0.25">
      <c r="A9">
        <v>8</v>
      </c>
      <c r="B9">
        <v>14260</v>
      </c>
      <c r="C9">
        <v>3499</v>
      </c>
      <c r="D9">
        <v>8</v>
      </c>
      <c r="E9" t="s">
        <v>529</v>
      </c>
      <c r="F9" t="s">
        <v>530</v>
      </c>
      <c r="G9" t="s">
        <v>534</v>
      </c>
      <c r="H9" t="s">
        <v>325</v>
      </c>
      <c r="I9" t="s">
        <v>521</v>
      </c>
      <c r="J9" t="s">
        <v>522</v>
      </c>
      <c r="K9" t="s">
        <v>326</v>
      </c>
      <c r="L9">
        <v>47.636488999999997</v>
      </c>
      <c r="M9">
        <v>-122.230667</v>
      </c>
      <c r="N9" s="1">
        <v>45894</v>
      </c>
      <c r="O9" s="1">
        <v>46050</v>
      </c>
      <c r="P9" t="s">
        <v>523</v>
      </c>
      <c r="Q9">
        <v>8</v>
      </c>
      <c r="S9">
        <v>17</v>
      </c>
      <c r="U9">
        <v>1</v>
      </c>
      <c r="W9">
        <v>0</v>
      </c>
      <c r="Y9">
        <v>0</v>
      </c>
      <c r="AA9">
        <v>1</v>
      </c>
      <c r="AC9">
        <v>2</v>
      </c>
      <c r="AE9">
        <v>3</v>
      </c>
      <c r="AG9">
        <v>0</v>
      </c>
      <c r="AI9" s="68">
        <v>0.83799999999999997</v>
      </c>
      <c r="AK9" s="68">
        <v>0.05</v>
      </c>
      <c r="AM9" s="68">
        <v>0.438</v>
      </c>
      <c r="AO9">
        <v>500</v>
      </c>
      <c r="AQ9">
        <v>3.2</v>
      </c>
      <c r="AS9">
        <v>0</v>
      </c>
      <c r="AU9">
        <v>0</v>
      </c>
      <c r="AW9">
        <v>0</v>
      </c>
      <c r="AY9">
        <v>0</v>
      </c>
      <c r="BA9">
        <v>0</v>
      </c>
      <c r="BC9">
        <v>1.2</v>
      </c>
      <c r="BE9">
        <v>0</v>
      </c>
      <c r="BG9">
        <v>0</v>
      </c>
      <c r="BI9">
        <v>2</v>
      </c>
      <c r="BK9">
        <v>0</v>
      </c>
    </row>
    <row r="10" spans="1:63" x14ac:dyDescent="0.25">
      <c r="A10">
        <v>9</v>
      </c>
      <c r="B10">
        <v>14280</v>
      </c>
      <c r="C10">
        <v>3500</v>
      </c>
      <c r="D10">
        <v>8</v>
      </c>
      <c r="E10" t="s">
        <v>529</v>
      </c>
      <c r="F10" t="s">
        <v>530</v>
      </c>
      <c r="G10" t="s">
        <v>536</v>
      </c>
      <c r="H10" t="s">
        <v>537</v>
      </c>
      <c r="I10" t="s">
        <v>521</v>
      </c>
      <c r="J10" t="s">
        <v>522</v>
      </c>
      <c r="K10" t="s">
        <v>2</v>
      </c>
      <c r="L10">
        <v>47.696244</v>
      </c>
      <c r="M10">
        <v>-122.18992900000001</v>
      </c>
      <c r="N10" s="1">
        <v>45904</v>
      </c>
      <c r="O10" s="1">
        <v>46088</v>
      </c>
      <c r="P10" t="s">
        <v>523</v>
      </c>
      <c r="Q10">
        <v>8</v>
      </c>
      <c r="S10">
        <v>26</v>
      </c>
      <c r="U10">
        <v>1</v>
      </c>
      <c r="W10">
        <v>2</v>
      </c>
      <c r="Y10">
        <v>4</v>
      </c>
      <c r="AA10">
        <v>7</v>
      </c>
      <c r="AC10">
        <v>13</v>
      </c>
      <c r="AE10">
        <v>5</v>
      </c>
      <c r="AG10">
        <v>0</v>
      </c>
      <c r="AI10" s="68">
        <v>0.74</v>
      </c>
      <c r="AK10" s="68">
        <v>1.4E-2</v>
      </c>
      <c r="AM10" s="68">
        <v>0.54</v>
      </c>
      <c r="AO10">
        <v>500</v>
      </c>
      <c r="AQ10">
        <v>12.7</v>
      </c>
      <c r="AS10">
        <v>0</v>
      </c>
      <c r="AU10">
        <v>0</v>
      </c>
      <c r="AW10">
        <v>1.4</v>
      </c>
      <c r="AY10">
        <v>3.8</v>
      </c>
      <c r="BA10">
        <v>3.5</v>
      </c>
      <c r="BC10">
        <v>3.8</v>
      </c>
      <c r="BE10">
        <v>0</v>
      </c>
      <c r="BG10">
        <v>0</v>
      </c>
      <c r="BI10">
        <v>0.2</v>
      </c>
      <c r="BK10">
        <v>0</v>
      </c>
    </row>
    <row r="11" spans="1:63" x14ac:dyDescent="0.25">
      <c r="A11">
        <v>10</v>
      </c>
      <c r="B11">
        <v>14307</v>
      </c>
      <c r="C11">
        <v>3502</v>
      </c>
      <c r="D11">
        <v>8</v>
      </c>
      <c r="E11" t="s">
        <v>529</v>
      </c>
      <c r="F11" t="s">
        <v>530</v>
      </c>
      <c r="G11" t="s">
        <v>538</v>
      </c>
      <c r="H11" t="s">
        <v>207</v>
      </c>
      <c r="I11" t="s">
        <v>521</v>
      </c>
      <c r="J11" t="s">
        <v>522</v>
      </c>
      <c r="K11" t="s">
        <v>19</v>
      </c>
      <c r="L11">
        <v>47.707183000000001</v>
      </c>
      <c r="M11">
        <v>-122.215498</v>
      </c>
      <c r="N11" s="1">
        <v>45915</v>
      </c>
      <c r="O11" s="1">
        <v>46058</v>
      </c>
      <c r="P11" t="s">
        <v>523</v>
      </c>
      <c r="Q11">
        <v>8</v>
      </c>
      <c r="S11">
        <v>36</v>
      </c>
      <c r="U11">
        <v>1</v>
      </c>
      <c r="W11">
        <v>3</v>
      </c>
      <c r="Y11">
        <v>2</v>
      </c>
      <c r="AA11">
        <v>6</v>
      </c>
      <c r="AC11">
        <v>14</v>
      </c>
      <c r="AE11">
        <v>3</v>
      </c>
      <c r="AG11">
        <v>0</v>
      </c>
      <c r="AI11" s="68">
        <v>0.40600000000000003</v>
      </c>
      <c r="AK11" s="68">
        <v>0.04</v>
      </c>
      <c r="AM11" s="68">
        <v>0.27200000000000002</v>
      </c>
      <c r="AO11">
        <v>500</v>
      </c>
      <c r="AQ11">
        <v>25.4</v>
      </c>
      <c r="AS11">
        <v>3.1</v>
      </c>
      <c r="AU11">
        <v>0</v>
      </c>
      <c r="AW11">
        <v>2.9</v>
      </c>
      <c r="AY11">
        <v>1.2</v>
      </c>
      <c r="BA11">
        <v>4.0999999999999996</v>
      </c>
      <c r="BC11">
        <v>1.2</v>
      </c>
      <c r="BE11">
        <v>0</v>
      </c>
      <c r="BG11">
        <v>7.7</v>
      </c>
      <c r="BI11">
        <v>1.5</v>
      </c>
      <c r="BK11">
        <v>3.7</v>
      </c>
    </row>
    <row r="12" spans="1:63" x14ac:dyDescent="0.25">
      <c r="A12">
        <v>11</v>
      </c>
      <c r="B12">
        <v>14354</v>
      </c>
      <c r="C12">
        <v>3612</v>
      </c>
      <c r="D12">
        <v>8</v>
      </c>
      <c r="E12" t="s">
        <v>529</v>
      </c>
      <c r="F12" t="s">
        <v>530</v>
      </c>
      <c r="G12" t="s">
        <v>539</v>
      </c>
      <c r="H12" t="s">
        <v>368</v>
      </c>
      <c r="I12" t="s">
        <v>521</v>
      </c>
      <c r="J12" t="s">
        <v>522</v>
      </c>
      <c r="K12" t="s">
        <v>40</v>
      </c>
      <c r="L12">
        <v>47.475298000000002</v>
      </c>
      <c r="M12">
        <v>-122.16319300000001</v>
      </c>
      <c r="N12" s="1">
        <v>45916</v>
      </c>
      <c r="O12" s="1">
        <v>46091</v>
      </c>
      <c r="P12" t="s">
        <v>523</v>
      </c>
      <c r="Q12">
        <v>8</v>
      </c>
      <c r="S12">
        <v>35</v>
      </c>
      <c r="U12">
        <v>4</v>
      </c>
      <c r="W12">
        <v>6</v>
      </c>
      <c r="Y12">
        <v>5</v>
      </c>
      <c r="AA12">
        <v>15</v>
      </c>
      <c r="AC12">
        <v>12</v>
      </c>
      <c r="AE12">
        <v>7</v>
      </c>
      <c r="AG12">
        <v>2</v>
      </c>
      <c r="AI12" s="68">
        <v>0.56999999999999995</v>
      </c>
      <c r="AK12" s="68">
        <v>0.13800000000000001</v>
      </c>
      <c r="AM12" s="68">
        <v>0.13600000000000001</v>
      </c>
      <c r="AO12">
        <v>500</v>
      </c>
      <c r="AQ12">
        <v>47.7</v>
      </c>
      <c r="AS12">
        <v>2.8</v>
      </c>
      <c r="AU12">
        <v>4.3</v>
      </c>
      <c r="AW12">
        <v>7.1</v>
      </c>
      <c r="AY12">
        <v>5</v>
      </c>
      <c r="BA12">
        <v>2.9</v>
      </c>
      <c r="BC12">
        <v>6.2</v>
      </c>
      <c r="BE12">
        <v>2.9</v>
      </c>
      <c r="BG12">
        <v>3.2</v>
      </c>
      <c r="BI12">
        <v>6.4</v>
      </c>
      <c r="BK12">
        <v>6.8</v>
      </c>
    </row>
    <row r="13" spans="1:63" x14ac:dyDescent="0.25">
      <c r="A13">
        <v>12</v>
      </c>
      <c r="B13">
        <v>14344</v>
      </c>
      <c r="C13">
        <v>120</v>
      </c>
      <c r="D13">
        <v>8</v>
      </c>
      <c r="E13" t="s">
        <v>529</v>
      </c>
      <c r="F13" t="s">
        <v>530</v>
      </c>
      <c r="G13" t="s">
        <v>539</v>
      </c>
      <c r="H13" t="s">
        <v>368</v>
      </c>
      <c r="I13" t="s">
        <v>521</v>
      </c>
      <c r="J13" t="s">
        <v>525</v>
      </c>
      <c r="K13" t="s">
        <v>370</v>
      </c>
      <c r="L13">
        <v>47.474226999999999</v>
      </c>
      <c r="M13">
        <v>-122.16359300000001</v>
      </c>
      <c r="N13" s="1">
        <v>45932</v>
      </c>
      <c r="O13" s="1">
        <v>46091</v>
      </c>
      <c r="P13" t="s">
        <v>523</v>
      </c>
      <c r="Q13">
        <v>8</v>
      </c>
      <c r="S13">
        <v>41</v>
      </c>
      <c r="U13">
        <v>6</v>
      </c>
      <c r="W13">
        <v>5</v>
      </c>
      <c r="Y13">
        <v>5</v>
      </c>
      <c r="AA13">
        <v>16</v>
      </c>
      <c r="AC13">
        <v>15</v>
      </c>
      <c r="AE13">
        <v>8</v>
      </c>
      <c r="AG13">
        <v>2</v>
      </c>
      <c r="AI13" s="68">
        <v>0.63</v>
      </c>
      <c r="AK13" s="68">
        <v>4.8000000000000001E-2</v>
      </c>
      <c r="AM13" s="68">
        <v>2.8000000000000001E-2</v>
      </c>
      <c r="AO13">
        <v>500</v>
      </c>
      <c r="AQ13">
        <v>50.6</v>
      </c>
      <c r="AS13">
        <v>4.8</v>
      </c>
      <c r="AU13">
        <v>7.1</v>
      </c>
      <c r="AW13">
        <v>5.7</v>
      </c>
      <c r="AY13">
        <v>5</v>
      </c>
      <c r="BA13">
        <v>4.7</v>
      </c>
      <c r="BC13">
        <v>7.5</v>
      </c>
      <c r="BE13">
        <v>2.9</v>
      </c>
      <c r="BG13">
        <v>1.6</v>
      </c>
      <c r="BI13">
        <v>1.9</v>
      </c>
      <c r="BK13">
        <v>9.3000000000000007</v>
      </c>
    </row>
    <row r="14" spans="1:63" x14ac:dyDescent="0.25">
      <c r="A14">
        <v>13</v>
      </c>
      <c r="B14">
        <v>14345</v>
      </c>
      <c r="C14">
        <v>121</v>
      </c>
      <c r="D14">
        <v>8</v>
      </c>
      <c r="E14" t="s">
        <v>529</v>
      </c>
      <c r="F14" t="s">
        <v>530</v>
      </c>
      <c r="G14" t="s">
        <v>539</v>
      </c>
      <c r="H14" t="s">
        <v>373</v>
      </c>
      <c r="I14" t="s">
        <v>521</v>
      </c>
      <c r="J14" t="s">
        <v>525</v>
      </c>
      <c r="K14" t="s">
        <v>41</v>
      </c>
      <c r="L14">
        <v>47.466759000000003</v>
      </c>
      <c r="M14">
        <v>-122.159109</v>
      </c>
      <c r="N14" s="1">
        <v>45866</v>
      </c>
      <c r="O14" s="1">
        <v>46091</v>
      </c>
      <c r="P14" t="s">
        <v>523</v>
      </c>
      <c r="Q14">
        <v>8</v>
      </c>
      <c r="S14">
        <v>39</v>
      </c>
      <c r="U14">
        <v>2</v>
      </c>
      <c r="W14">
        <v>5</v>
      </c>
      <c r="Y14">
        <v>3</v>
      </c>
      <c r="AA14">
        <v>10</v>
      </c>
      <c r="AC14">
        <v>13</v>
      </c>
      <c r="AE14">
        <v>7</v>
      </c>
      <c r="AG14">
        <v>0</v>
      </c>
      <c r="AI14" s="68">
        <v>0.42199999999999999</v>
      </c>
      <c r="AK14" s="68">
        <v>0.188</v>
      </c>
      <c r="AM14" s="68">
        <v>0.02</v>
      </c>
      <c r="AO14">
        <v>500</v>
      </c>
      <c r="AQ14">
        <v>49.2</v>
      </c>
      <c r="AS14">
        <v>4.0999999999999996</v>
      </c>
      <c r="AU14">
        <v>1.4</v>
      </c>
      <c r="AW14">
        <v>5.7</v>
      </c>
      <c r="AY14">
        <v>2.5</v>
      </c>
      <c r="BA14">
        <v>3.5</v>
      </c>
      <c r="BC14">
        <v>6.2</v>
      </c>
      <c r="BE14">
        <v>0</v>
      </c>
      <c r="BG14">
        <v>7.2</v>
      </c>
      <c r="BI14">
        <v>8.9</v>
      </c>
      <c r="BK14">
        <v>9.5</v>
      </c>
    </row>
    <row r="15" spans="1:63" x14ac:dyDescent="0.25">
      <c r="A15">
        <v>14</v>
      </c>
      <c r="B15">
        <v>14346</v>
      </c>
      <c r="C15">
        <v>125</v>
      </c>
      <c r="D15">
        <v>8</v>
      </c>
      <c r="E15" t="s">
        <v>529</v>
      </c>
      <c r="F15" t="s">
        <v>530</v>
      </c>
      <c r="G15" t="s">
        <v>539</v>
      </c>
      <c r="H15" t="s">
        <v>540</v>
      </c>
      <c r="I15" t="s">
        <v>521</v>
      </c>
      <c r="J15" t="s">
        <v>525</v>
      </c>
      <c r="K15" t="s">
        <v>42</v>
      </c>
      <c r="L15">
        <v>47.374751000000003</v>
      </c>
      <c r="M15">
        <v>-122.017672</v>
      </c>
      <c r="N15" s="1">
        <v>45861</v>
      </c>
      <c r="O15" s="1">
        <v>46091</v>
      </c>
      <c r="P15" t="s">
        <v>523</v>
      </c>
      <c r="Q15">
        <v>8</v>
      </c>
      <c r="S15">
        <v>64</v>
      </c>
      <c r="U15">
        <v>8</v>
      </c>
      <c r="W15">
        <v>11</v>
      </c>
      <c r="Y15">
        <v>8</v>
      </c>
      <c r="AA15">
        <v>27</v>
      </c>
      <c r="AC15">
        <v>29</v>
      </c>
      <c r="AE15">
        <v>9</v>
      </c>
      <c r="AG15">
        <v>7</v>
      </c>
      <c r="AI15" s="68">
        <v>0.47799999999999998</v>
      </c>
      <c r="AK15" s="68">
        <v>6.6000000000000003E-2</v>
      </c>
      <c r="AM15" s="68">
        <v>6.0000000000000001E-3</v>
      </c>
      <c r="AO15">
        <v>500</v>
      </c>
      <c r="AQ15">
        <v>85.9</v>
      </c>
      <c r="AS15">
        <v>10</v>
      </c>
      <c r="AU15">
        <v>10</v>
      </c>
      <c r="AW15">
        <v>10</v>
      </c>
      <c r="AY15">
        <v>8.8000000000000007</v>
      </c>
      <c r="BA15">
        <v>10</v>
      </c>
      <c r="BC15">
        <v>8.8000000000000007</v>
      </c>
      <c r="BE15">
        <v>10</v>
      </c>
      <c r="BG15">
        <v>5.7</v>
      </c>
      <c r="BI15">
        <v>2.8</v>
      </c>
      <c r="BK15">
        <v>9.9</v>
      </c>
    </row>
    <row r="16" spans="1:63" x14ac:dyDescent="0.25">
      <c r="A16">
        <v>15</v>
      </c>
      <c r="B16">
        <v>14311</v>
      </c>
      <c r="C16">
        <v>3507</v>
      </c>
      <c r="D16">
        <v>8</v>
      </c>
      <c r="E16" t="s">
        <v>529</v>
      </c>
      <c r="F16" t="s">
        <v>530</v>
      </c>
      <c r="G16" t="s">
        <v>541</v>
      </c>
      <c r="H16" t="s">
        <v>228</v>
      </c>
      <c r="I16" t="s">
        <v>521</v>
      </c>
      <c r="J16" t="s">
        <v>522</v>
      </c>
      <c r="K16" t="s">
        <v>229</v>
      </c>
      <c r="L16">
        <v>47.753051999999997</v>
      </c>
      <c r="M16">
        <v>-122.276916</v>
      </c>
      <c r="N16" s="1">
        <v>45894</v>
      </c>
      <c r="O16" s="1">
        <v>46050</v>
      </c>
      <c r="P16" t="s">
        <v>523</v>
      </c>
      <c r="Q16">
        <v>8</v>
      </c>
      <c r="S16">
        <v>42</v>
      </c>
      <c r="U16">
        <v>2</v>
      </c>
      <c r="W16">
        <v>4</v>
      </c>
      <c r="Y16">
        <v>5</v>
      </c>
      <c r="AA16">
        <v>11</v>
      </c>
      <c r="AC16">
        <v>16</v>
      </c>
      <c r="AE16">
        <v>10</v>
      </c>
      <c r="AG16">
        <v>0</v>
      </c>
      <c r="AI16" s="68">
        <v>0.46200000000000002</v>
      </c>
      <c r="AK16" s="68">
        <v>7.5999999999999998E-2</v>
      </c>
      <c r="AM16" s="68">
        <v>0.4</v>
      </c>
      <c r="AO16">
        <v>500</v>
      </c>
      <c r="AQ16">
        <v>41.3</v>
      </c>
      <c r="AS16">
        <v>5.2</v>
      </c>
      <c r="AU16">
        <v>1.4</v>
      </c>
      <c r="AW16">
        <v>4.3</v>
      </c>
      <c r="AY16">
        <v>5</v>
      </c>
      <c r="BA16">
        <v>5.3</v>
      </c>
      <c r="BC16">
        <v>10</v>
      </c>
      <c r="BE16">
        <v>0</v>
      </c>
      <c r="BG16">
        <v>6.2</v>
      </c>
      <c r="BI16">
        <v>3.3</v>
      </c>
      <c r="BK16">
        <v>0.7</v>
      </c>
    </row>
    <row r="17" spans="1:63" x14ac:dyDescent="0.25">
      <c r="A17">
        <v>16</v>
      </c>
      <c r="B17">
        <v>14347</v>
      </c>
      <c r="C17">
        <v>132</v>
      </c>
      <c r="D17">
        <v>8</v>
      </c>
      <c r="E17" t="s">
        <v>529</v>
      </c>
      <c r="F17" t="s">
        <v>530</v>
      </c>
      <c r="G17" t="s">
        <v>542</v>
      </c>
      <c r="H17" t="s">
        <v>543</v>
      </c>
      <c r="I17" t="s">
        <v>521</v>
      </c>
      <c r="J17" t="s">
        <v>525</v>
      </c>
      <c r="K17" t="s">
        <v>43</v>
      </c>
      <c r="L17">
        <v>47.529662999999999</v>
      </c>
      <c r="M17">
        <v>-122.200605</v>
      </c>
      <c r="N17" s="1">
        <v>45867</v>
      </c>
      <c r="O17" s="1">
        <v>46091</v>
      </c>
      <c r="P17" t="s">
        <v>523</v>
      </c>
      <c r="Q17">
        <v>8</v>
      </c>
      <c r="S17">
        <v>46</v>
      </c>
      <c r="U17">
        <v>4</v>
      </c>
      <c r="W17">
        <v>5</v>
      </c>
      <c r="Y17">
        <v>2</v>
      </c>
      <c r="AA17">
        <v>11</v>
      </c>
      <c r="AC17">
        <v>18</v>
      </c>
      <c r="AE17">
        <v>7</v>
      </c>
      <c r="AG17">
        <v>1</v>
      </c>
      <c r="AI17" s="68">
        <v>0.47799999999999998</v>
      </c>
      <c r="AK17" s="68">
        <v>0.124</v>
      </c>
      <c r="AM17" s="68">
        <v>0.11799999999999999</v>
      </c>
      <c r="AO17">
        <v>500</v>
      </c>
      <c r="AQ17">
        <v>50.6</v>
      </c>
      <c r="AS17">
        <v>6.6</v>
      </c>
      <c r="AU17">
        <v>4.3</v>
      </c>
      <c r="AW17">
        <v>5.7</v>
      </c>
      <c r="AY17">
        <v>1.2</v>
      </c>
      <c r="BA17">
        <v>6.5</v>
      </c>
      <c r="BC17">
        <v>6.2</v>
      </c>
      <c r="BE17">
        <v>1.4</v>
      </c>
      <c r="BG17">
        <v>5.7</v>
      </c>
      <c r="BI17">
        <v>5.7</v>
      </c>
      <c r="BK17">
        <v>7.3</v>
      </c>
    </row>
    <row r="18" spans="1:63" x14ac:dyDescent="0.25">
      <c r="A18">
        <v>17</v>
      </c>
      <c r="B18">
        <v>14359</v>
      </c>
      <c r="C18">
        <v>200</v>
      </c>
      <c r="D18">
        <v>8</v>
      </c>
      <c r="E18" t="s">
        <v>529</v>
      </c>
      <c r="F18" t="s">
        <v>530</v>
      </c>
      <c r="G18" t="s">
        <v>544</v>
      </c>
      <c r="H18" t="s">
        <v>234</v>
      </c>
      <c r="I18" t="s">
        <v>521</v>
      </c>
      <c r="J18" t="s">
        <v>525</v>
      </c>
      <c r="K18" t="s">
        <v>39</v>
      </c>
      <c r="L18">
        <v>47.752198999999997</v>
      </c>
      <c r="M18">
        <v>-122.28187699999999</v>
      </c>
      <c r="N18" s="1">
        <v>45895</v>
      </c>
      <c r="O18" s="1">
        <v>46091</v>
      </c>
      <c r="P18" t="s">
        <v>523</v>
      </c>
      <c r="Q18">
        <v>8</v>
      </c>
      <c r="S18">
        <v>32</v>
      </c>
      <c r="U18">
        <v>4</v>
      </c>
      <c r="W18">
        <v>3</v>
      </c>
      <c r="Y18">
        <v>4</v>
      </c>
      <c r="AA18">
        <v>11</v>
      </c>
      <c r="AC18">
        <v>15</v>
      </c>
      <c r="AE18">
        <v>5</v>
      </c>
      <c r="AG18">
        <v>1</v>
      </c>
      <c r="AI18" s="68">
        <v>0.48599999999999999</v>
      </c>
      <c r="AK18" s="68">
        <v>2.1999999999999999E-2</v>
      </c>
      <c r="AM18" s="68">
        <v>0.35399999999999998</v>
      </c>
      <c r="AO18">
        <v>500</v>
      </c>
      <c r="AQ18">
        <v>30.4</v>
      </c>
      <c r="AS18">
        <v>1.7</v>
      </c>
      <c r="AU18">
        <v>4.3</v>
      </c>
      <c r="AW18">
        <v>2.9</v>
      </c>
      <c r="AY18">
        <v>3.8</v>
      </c>
      <c r="BA18">
        <v>4.7</v>
      </c>
      <c r="BC18">
        <v>3.8</v>
      </c>
      <c r="BE18">
        <v>1.4</v>
      </c>
      <c r="BG18">
        <v>5.5</v>
      </c>
      <c r="BI18">
        <v>0.6</v>
      </c>
      <c r="BK18">
        <v>1.8</v>
      </c>
    </row>
    <row r="19" spans="1:63" x14ac:dyDescent="0.25">
      <c r="A19">
        <v>18</v>
      </c>
      <c r="B19">
        <v>14175</v>
      </c>
      <c r="C19">
        <v>46</v>
      </c>
      <c r="D19">
        <v>8</v>
      </c>
      <c r="E19" t="s">
        <v>529</v>
      </c>
      <c r="F19" t="s">
        <v>530</v>
      </c>
      <c r="G19" t="s">
        <v>545</v>
      </c>
      <c r="H19" t="s">
        <v>268</v>
      </c>
      <c r="I19" t="s">
        <v>546</v>
      </c>
      <c r="J19" t="s">
        <v>547</v>
      </c>
      <c r="K19" t="s">
        <v>21</v>
      </c>
      <c r="L19">
        <v>47.696095999999997</v>
      </c>
      <c r="M19">
        <v>-122.276095</v>
      </c>
      <c r="N19" s="1">
        <v>45874</v>
      </c>
      <c r="O19" s="1">
        <v>46088</v>
      </c>
      <c r="P19" t="s">
        <v>523</v>
      </c>
      <c r="Q19">
        <v>9</v>
      </c>
      <c r="S19">
        <v>15</v>
      </c>
      <c r="U19">
        <v>0</v>
      </c>
      <c r="W19">
        <v>0</v>
      </c>
      <c r="Y19">
        <v>1</v>
      </c>
      <c r="AA19">
        <v>1</v>
      </c>
      <c r="AC19">
        <v>3</v>
      </c>
      <c r="AE19">
        <v>3</v>
      </c>
      <c r="AG19">
        <v>0</v>
      </c>
      <c r="AI19" s="68">
        <v>0.95</v>
      </c>
      <c r="AK19" s="68">
        <v>6.0000000000000001E-3</v>
      </c>
      <c r="AM19" s="68">
        <v>1.4E-2</v>
      </c>
      <c r="AO19">
        <v>500</v>
      </c>
      <c r="AQ19">
        <v>10.9</v>
      </c>
      <c r="AS19">
        <v>0</v>
      </c>
      <c r="AU19">
        <v>0</v>
      </c>
      <c r="AW19">
        <v>0</v>
      </c>
      <c r="AY19">
        <v>0</v>
      </c>
      <c r="BA19">
        <v>0</v>
      </c>
      <c r="BC19">
        <v>1.2</v>
      </c>
      <c r="BE19">
        <v>0</v>
      </c>
      <c r="BG19">
        <v>0</v>
      </c>
      <c r="BI19">
        <v>0</v>
      </c>
      <c r="BK19">
        <v>9.6999999999999993</v>
      </c>
    </row>
    <row r="20" spans="1:63" x14ac:dyDescent="0.25">
      <c r="A20">
        <v>19</v>
      </c>
      <c r="B20">
        <v>14124</v>
      </c>
      <c r="C20">
        <v>205</v>
      </c>
      <c r="D20">
        <v>8</v>
      </c>
      <c r="E20" t="s">
        <v>529</v>
      </c>
      <c r="F20" t="s">
        <v>530</v>
      </c>
      <c r="G20" t="s">
        <v>548</v>
      </c>
      <c r="H20" t="s">
        <v>400</v>
      </c>
      <c r="I20" t="s">
        <v>521</v>
      </c>
      <c r="J20" t="s">
        <v>522</v>
      </c>
      <c r="K20" t="s">
        <v>13</v>
      </c>
      <c r="L20">
        <v>47.507868999999999</v>
      </c>
      <c r="M20">
        <v>-122.24758199999999</v>
      </c>
      <c r="N20" s="1">
        <v>45866</v>
      </c>
      <c r="O20" s="1">
        <v>46088</v>
      </c>
      <c r="P20" t="s">
        <v>523</v>
      </c>
      <c r="Q20">
        <v>8</v>
      </c>
      <c r="S20">
        <v>29</v>
      </c>
      <c r="U20">
        <v>2</v>
      </c>
      <c r="W20">
        <v>4</v>
      </c>
      <c r="Y20">
        <v>3</v>
      </c>
      <c r="AA20">
        <v>9</v>
      </c>
      <c r="AC20">
        <v>6</v>
      </c>
      <c r="AE20">
        <v>4</v>
      </c>
      <c r="AG20">
        <v>0</v>
      </c>
      <c r="AI20" s="68">
        <v>0.55200000000000005</v>
      </c>
      <c r="AK20" s="68">
        <v>8.2000000000000003E-2</v>
      </c>
      <c r="AM20" s="68">
        <v>0.20200000000000001</v>
      </c>
      <c r="AO20">
        <v>500</v>
      </c>
      <c r="AQ20">
        <v>24</v>
      </c>
      <c r="AS20">
        <v>0.7</v>
      </c>
      <c r="AU20">
        <v>1.4</v>
      </c>
      <c r="AW20">
        <v>4.3</v>
      </c>
      <c r="AY20">
        <v>2.5</v>
      </c>
      <c r="BA20">
        <v>0</v>
      </c>
      <c r="BC20">
        <v>2.5</v>
      </c>
      <c r="BE20">
        <v>0</v>
      </c>
      <c r="BG20">
        <v>3.7</v>
      </c>
      <c r="BI20">
        <v>3.6</v>
      </c>
      <c r="BK20">
        <v>5.3</v>
      </c>
    </row>
    <row r="21" spans="1:63" x14ac:dyDescent="0.25">
      <c r="A21">
        <v>20</v>
      </c>
      <c r="B21">
        <v>14379</v>
      </c>
      <c r="C21">
        <v>3505</v>
      </c>
      <c r="D21">
        <v>8</v>
      </c>
      <c r="E21" t="s">
        <v>529</v>
      </c>
      <c r="F21" t="s">
        <v>549</v>
      </c>
      <c r="G21" t="s">
        <v>550</v>
      </c>
      <c r="H21" t="s">
        <v>301</v>
      </c>
      <c r="I21" t="s">
        <v>521</v>
      </c>
      <c r="J21" t="s">
        <v>522</v>
      </c>
      <c r="K21" t="s">
        <v>16</v>
      </c>
      <c r="L21">
        <v>47.711787000000001</v>
      </c>
      <c r="M21">
        <v>-122.37938</v>
      </c>
      <c r="N21" s="1">
        <v>45917</v>
      </c>
      <c r="O21" s="1">
        <v>46058</v>
      </c>
      <c r="P21" t="s">
        <v>523</v>
      </c>
      <c r="Q21">
        <v>8</v>
      </c>
      <c r="S21">
        <v>18</v>
      </c>
      <c r="U21">
        <v>1</v>
      </c>
      <c r="W21">
        <v>1</v>
      </c>
      <c r="Y21">
        <v>1</v>
      </c>
      <c r="AA21">
        <v>3</v>
      </c>
      <c r="AC21">
        <v>3</v>
      </c>
      <c r="AE21">
        <v>1</v>
      </c>
      <c r="AG21">
        <v>0</v>
      </c>
      <c r="AI21" s="68">
        <v>0.84199999999999997</v>
      </c>
      <c r="AK21" s="68">
        <v>1.7999999999999999E-2</v>
      </c>
      <c r="AM21" s="68">
        <v>0.748</v>
      </c>
      <c r="AO21">
        <v>500</v>
      </c>
      <c r="AQ21">
        <v>0.4</v>
      </c>
      <c r="AS21">
        <v>0</v>
      </c>
      <c r="AU21">
        <v>0</v>
      </c>
      <c r="AW21">
        <v>0</v>
      </c>
      <c r="AY21">
        <v>0</v>
      </c>
      <c r="BA21">
        <v>0</v>
      </c>
      <c r="BC21">
        <v>0</v>
      </c>
      <c r="BE21">
        <v>0</v>
      </c>
      <c r="BG21">
        <v>0</v>
      </c>
      <c r="BI21">
        <v>0.4</v>
      </c>
      <c r="BK21">
        <v>0</v>
      </c>
    </row>
    <row r="22" spans="1:63" x14ac:dyDescent="0.25">
      <c r="A22">
        <v>21</v>
      </c>
      <c r="B22">
        <v>14155</v>
      </c>
      <c r="C22">
        <v>42</v>
      </c>
      <c r="D22">
        <v>8</v>
      </c>
      <c r="E22" t="s">
        <v>529</v>
      </c>
      <c r="F22" t="s">
        <v>549</v>
      </c>
      <c r="G22" t="s">
        <v>550</v>
      </c>
      <c r="H22" t="s">
        <v>343</v>
      </c>
      <c r="I22" t="s">
        <v>546</v>
      </c>
      <c r="J22" t="s">
        <v>551</v>
      </c>
      <c r="K22" t="s">
        <v>15</v>
      </c>
      <c r="L22">
        <v>47.711097000000002</v>
      </c>
      <c r="M22">
        <v>-122.37180499999999</v>
      </c>
      <c r="N22" s="1">
        <v>45859</v>
      </c>
      <c r="O22" s="1">
        <v>46088</v>
      </c>
      <c r="P22" t="s">
        <v>523</v>
      </c>
      <c r="Q22">
        <v>9</v>
      </c>
      <c r="R22">
        <v>9</v>
      </c>
      <c r="S22">
        <v>34</v>
      </c>
      <c r="T22">
        <v>23</v>
      </c>
      <c r="U22">
        <v>3</v>
      </c>
      <c r="V22">
        <v>3</v>
      </c>
      <c r="W22">
        <v>4</v>
      </c>
      <c r="X22">
        <v>4</v>
      </c>
      <c r="Y22">
        <v>3</v>
      </c>
      <c r="Z22">
        <v>2</v>
      </c>
      <c r="AA22">
        <v>10</v>
      </c>
      <c r="AB22">
        <v>9</v>
      </c>
      <c r="AC22">
        <v>9</v>
      </c>
      <c r="AD22">
        <v>6</v>
      </c>
      <c r="AE22">
        <v>5</v>
      </c>
      <c r="AF22">
        <v>3</v>
      </c>
      <c r="AG22">
        <v>0</v>
      </c>
      <c r="AH22">
        <v>0</v>
      </c>
      <c r="AI22" s="68">
        <v>0.73699999999999999</v>
      </c>
      <c r="AJ22" s="68">
        <v>0.86</v>
      </c>
      <c r="AK22" s="68">
        <v>0.1</v>
      </c>
      <c r="AL22" s="68">
        <v>6.4000000000000001E-2</v>
      </c>
      <c r="AM22" s="68">
        <v>0.63700000000000001</v>
      </c>
      <c r="AN22" s="68">
        <v>0.79600000000000004</v>
      </c>
      <c r="AO22">
        <v>499</v>
      </c>
      <c r="AP22">
        <v>500</v>
      </c>
      <c r="AQ22">
        <v>21.5</v>
      </c>
      <c r="AR22">
        <v>12.3</v>
      </c>
      <c r="AS22">
        <v>2.4</v>
      </c>
      <c r="AT22">
        <v>0</v>
      </c>
      <c r="AU22">
        <v>2.9</v>
      </c>
      <c r="AV22">
        <v>2.9</v>
      </c>
      <c r="AW22">
        <v>4.3</v>
      </c>
      <c r="AX22">
        <v>4.3</v>
      </c>
      <c r="AY22">
        <v>2.5</v>
      </c>
      <c r="AZ22">
        <v>1.2</v>
      </c>
      <c r="BA22">
        <v>1.2</v>
      </c>
      <c r="BB22">
        <v>0</v>
      </c>
      <c r="BC22">
        <v>3.8</v>
      </c>
      <c r="BD22">
        <v>1.2</v>
      </c>
      <c r="BE22">
        <v>0</v>
      </c>
      <c r="BF22">
        <v>0</v>
      </c>
      <c r="BG22">
        <v>0</v>
      </c>
      <c r="BH22">
        <v>0</v>
      </c>
      <c r="BI22">
        <v>4.5</v>
      </c>
      <c r="BJ22">
        <v>2.7</v>
      </c>
      <c r="BK22">
        <v>0</v>
      </c>
    </row>
    <row r="23" spans="1:63" x14ac:dyDescent="0.25">
      <c r="A23">
        <v>22</v>
      </c>
      <c r="B23">
        <v>14224</v>
      </c>
      <c r="C23">
        <v>3495</v>
      </c>
      <c r="D23">
        <v>8</v>
      </c>
      <c r="E23" t="s">
        <v>529</v>
      </c>
      <c r="F23" t="s">
        <v>552</v>
      </c>
      <c r="G23" t="s">
        <v>553</v>
      </c>
      <c r="H23" t="s">
        <v>554</v>
      </c>
      <c r="I23" t="s">
        <v>521</v>
      </c>
      <c r="J23" t="s">
        <v>522</v>
      </c>
      <c r="K23" t="s">
        <v>117</v>
      </c>
      <c r="L23">
        <v>47.667698999999999</v>
      </c>
      <c r="M23">
        <v>-122.122276</v>
      </c>
      <c r="N23" s="1">
        <v>45887</v>
      </c>
      <c r="O23" s="1">
        <v>46050</v>
      </c>
      <c r="P23" t="s">
        <v>523</v>
      </c>
      <c r="Q23">
        <v>8</v>
      </c>
      <c r="S23">
        <v>39</v>
      </c>
      <c r="U23">
        <v>4</v>
      </c>
      <c r="W23">
        <v>1</v>
      </c>
      <c r="Y23">
        <v>7</v>
      </c>
      <c r="AA23">
        <v>12</v>
      </c>
      <c r="AC23">
        <v>22</v>
      </c>
      <c r="AE23">
        <v>5</v>
      </c>
      <c r="AG23">
        <v>1</v>
      </c>
      <c r="AI23" s="68">
        <v>0.442</v>
      </c>
      <c r="AK23" s="68">
        <v>1.6E-2</v>
      </c>
      <c r="AM23" s="68">
        <v>0.318</v>
      </c>
      <c r="AO23">
        <v>500</v>
      </c>
      <c r="AQ23">
        <v>39.5</v>
      </c>
      <c r="AS23">
        <v>4.0999999999999996</v>
      </c>
      <c r="AU23">
        <v>4.3</v>
      </c>
      <c r="AW23">
        <v>0</v>
      </c>
      <c r="AY23">
        <v>7.5</v>
      </c>
      <c r="BA23">
        <v>8.8000000000000007</v>
      </c>
      <c r="BC23">
        <v>3.8</v>
      </c>
      <c r="BE23">
        <v>1.4</v>
      </c>
      <c r="BG23">
        <v>6.7</v>
      </c>
      <c r="BI23">
        <v>0.3</v>
      </c>
      <c r="BK23">
        <v>2.6</v>
      </c>
    </row>
    <row r="24" spans="1:63" x14ac:dyDescent="0.25">
      <c r="A24">
        <v>23</v>
      </c>
      <c r="B24">
        <v>14225</v>
      </c>
      <c r="C24">
        <v>3496</v>
      </c>
      <c r="D24">
        <v>8</v>
      </c>
      <c r="E24" t="s">
        <v>529</v>
      </c>
      <c r="F24" t="s">
        <v>552</v>
      </c>
      <c r="G24" t="s">
        <v>553</v>
      </c>
      <c r="H24" t="s">
        <v>360</v>
      </c>
      <c r="I24" t="s">
        <v>521</v>
      </c>
      <c r="J24" t="s">
        <v>522</v>
      </c>
      <c r="K24" t="s">
        <v>362</v>
      </c>
      <c r="L24">
        <v>47.733407</v>
      </c>
      <c r="M24">
        <v>-122.07854500000001</v>
      </c>
      <c r="N24" s="1">
        <v>45887</v>
      </c>
      <c r="O24" s="1">
        <v>46050</v>
      </c>
      <c r="P24" t="s">
        <v>523</v>
      </c>
      <c r="Q24">
        <v>8</v>
      </c>
      <c r="S24">
        <v>47</v>
      </c>
      <c r="U24">
        <v>6</v>
      </c>
      <c r="W24">
        <v>6</v>
      </c>
      <c r="Y24">
        <v>7</v>
      </c>
      <c r="AA24">
        <v>19</v>
      </c>
      <c r="AC24">
        <v>22</v>
      </c>
      <c r="AE24">
        <v>9</v>
      </c>
      <c r="AG24">
        <v>5</v>
      </c>
      <c r="AI24" s="68">
        <v>0.434</v>
      </c>
      <c r="AK24" s="68">
        <v>0.03</v>
      </c>
      <c r="AM24" s="68">
        <v>0.32600000000000001</v>
      </c>
      <c r="AO24">
        <v>500</v>
      </c>
      <c r="AQ24">
        <v>63.7</v>
      </c>
      <c r="AS24">
        <v>6.9</v>
      </c>
      <c r="AU24">
        <v>7.1</v>
      </c>
      <c r="AW24">
        <v>7.1</v>
      </c>
      <c r="AY24">
        <v>7.5</v>
      </c>
      <c r="BA24">
        <v>8.8000000000000007</v>
      </c>
      <c r="BC24">
        <v>8.8000000000000007</v>
      </c>
      <c r="BE24">
        <v>7.1</v>
      </c>
      <c r="BG24">
        <v>6.9</v>
      </c>
      <c r="BI24">
        <v>1</v>
      </c>
      <c r="BK24">
        <v>2.4</v>
      </c>
    </row>
    <row r="25" spans="1:63" x14ac:dyDescent="0.25">
      <c r="A25">
        <v>24</v>
      </c>
      <c r="B25">
        <v>14348</v>
      </c>
      <c r="C25">
        <v>165</v>
      </c>
      <c r="D25">
        <v>8</v>
      </c>
      <c r="E25" t="s">
        <v>529</v>
      </c>
      <c r="F25" t="s">
        <v>552</v>
      </c>
      <c r="G25" t="s">
        <v>555</v>
      </c>
      <c r="H25" t="s">
        <v>154</v>
      </c>
      <c r="I25" t="s">
        <v>521</v>
      </c>
      <c r="J25" t="s">
        <v>525</v>
      </c>
      <c r="K25" t="s">
        <v>44</v>
      </c>
      <c r="L25">
        <v>47.608584</v>
      </c>
      <c r="M25">
        <v>-122.071866</v>
      </c>
      <c r="N25" s="1">
        <v>45911</v>
      </c>
      <c r="O25" s="1">
        <v>46091</v>
      </c>
      <c r="P25" t="s">
        <v>523</v>
      </c>
      <c r="Q25">
        <v>8</v>
      </c>
      <c r="S25">
        <v>39</v>
      </c>
      <c r="U25">
        <v>5</v>
      </c>
      <c r="W25">
        <v>4</v>
      </c>
      <c r="Y25">
        <v>5</v>
      </c>
      <c r="AA25">
        <v>14</v>
      </c>
      <c r="AC25">
        <v>14</v>
      </c>
      <c r="AE25">
        <v>6</v>
      </c>
      <c r="AG25">
        <v>2</v>
      </c>
      <c r="AI25" s="68">
        <v>0.56599999999999995</v>
      </c>
      <c r="AK25" s="68">
        <v>0.114</v>
      </c>
      <c r="AM25" s="68">
        <v>0.17</v>
      </c>
      <c r="AO25">
        <v>500</v>
      </c>
      <c r="AQ25">
        <v>45.7</v>
      </c>
      <c r="AS25">
        <v>4.0999999999999996</v>
      </c>
      <c r="AU25">
        <v>5.7</v>
      </c>
      <c r="AW25">
        <v>4.3</v>
      </c>
      <c r="AY25">
        <v>5</v>
      </c>
      <c r="BA25">
        <v>4.0999999999999996</v>
      </c>
      <c r="BC25">
        <v>5</v>
      </c>
      <c r="BE25">
        <v>2.9</v>
      </c>
      <c r="BG25">
        <v>3.4</v>
      </c>
      <c r="BI25">
        <v>5.2</v>
      </c>
      <c r="BK25">
        <v>6</v>
      </c>
    </row>
    <row r="26" spans="1:63" x14ac:dyDescent="0.25">
      <c r="A26">
        <v>25</v>
      </c>
      <c r="B26">
        <v>14316</v>
      </c>
      <c r="C26">
        <v>166</v>
      </c>
      <c r="D26">
        <v>8</v>
      </c>
      <c r="E26" t="s">
        <v>529</v>
      </c>
      <c r="F26" t="s">
        <v>552</v>
      </c>
      <c r="G26" t="s">
        <v>555</v>
      </c>
      <c r="H26" t="s">
        <v>387</v>
      </c>
      <c r="I26" t="s">
        <v>521</v>
      </c>
      <c r="J26" t="s">
        <v>525</v>
      </c>
      <c r="K26" t="s">
        <v>28</v>
      </c>
      <c r="L26">
        <v>47.615284000000003</v>
      </c>
      <c r="M26">
        <v>-122.066971</v>
      </c>
      <c r="N26" s="1">
        <v>45938</v>
      </c>
      <c r="O26" s="1">
        <v>46091</v>
      </c>
      <c r="P26" t="s">
        <v>523</v>
      </c>
      <c r="Q26">
        <v>8</v>
      </c>
      <c r="S26">
        <v>36</v>
      </c>
      <c r="U26">
        <v>6</v>
      </c>
      <c r="W26">
        <v>7</v>
      </c>
      <c r="Y26">
        <v>4</v>
      </c>
      <c r="AA26">
        <v>17</v>
      </c>
      <c r="AC26">
        <v>14</v>
      </c>
      <c r="AE26">
        <v>5</v>
      </c>
      <c r="AG26">
        <v>4</v>
      </c>
      <c r="AI26" s="68">
        <v>0.46400000000000002</v>
      </c>
      <c r="AK26" s="68">
        <v>0.05</v>
      </c>
      <c r="AM26" s="68">
        <v>3.5999999999999997E-2</v>
      </c>
      <c r="AO26">
        <v>500</v>
      </c>
      <c r="AQ26">
        <v>53.4</v>
      </c>
      <c r="AS26">
        <v>3.1</v>
      </c>
      <c r="AU26">
        <v>7.1</v>
      </c>
      <c r="AW26">
        <v>8.6</v>
      </c>
      <c r="AY26">
        <v>3.8</v>
      </c>
      <c r="BA26">
        <v>4.0999999999999996</v>
      </c>
      <c r="BC26">
        <v>3.8</v>
      </c>
      <c r="BE26">
        <v>5.7</v>
      </c>
      <c r="BG26">
        <v>6.1</v>
      </c>
      <c r="BI26">
        <v>2</v>
      </c>
      <c r="BK26">
        <v>9.1999999999999993</v>
      </c>
    </row>
    <row r="27" spans="1:63" x14ac:dyDescent="0.25">
      <c r="A27">
        <v>26</v>
      </c>
      <c r="B27">
        <v>14313</v>
      </c>
      <c r="C27">
        <v>168</v>
      </c>
      <c r="D27">
        <v>8</v>
      </c>
      <c r="E27" t="s">
        <v>529</v>
      </c>
      <c r="F27" t="s">
        <v>552</v>
      </c>
      <c r="G27" t="s">
        <v>555</v>
      </c>
      <c r="H27" t="s">
        <v>149</v>
      </c>
      <c r="I27" t="s">
        <v>521</v>
      </c>
      <c r="J27" t="s">
        <v>525</v>
      </c>
      <c r="K27" t="s">
        <v>31</v>
      </c>
      <c r="L27">
        <v>47.565112999999997</v>
      </c>
      <c r="M27">
        <v>-122.050183</v>
      </c>
      <c r="N27" s="1">
        <v>45937</v>
      </c>
      <c r="O27" s="1">
        <v>46091</v>
      </c>
      <c r="P27" t="s">
        <v>523</v>
      </c>
      <c r="Q27">
        <v>8</v>
      </c>
      <c r="S27">
        <v>34</v>
      </c>
      <c r="U27">
        <v>5</v>
      </c>
      <c r="W27">
        <v>8</v>
      </c>
      <c r="Y27">
        <v>5</v>
      </c>
      <c r="AA27">
        <v>18</v>
      </c>
      <c r="AC27">
        <v>18</v>
      </c>
      <c r="AE27">
        <v>6</v>
      </c>
      <c r="AG27">
        <v>3</v>
      </c>
      <c r="AI27" s="68">
        <v>0.436</v>
      </c>
      <c r="AK27" s="68">
        <v>0.222</v>
      </c>
      <c r="AM27" s="68">
        <v>2.1999999999999999E-2</v>
      </c>
      <c r="AO27">
        <v>500</v>
      </c>
      <c r="AQ27">
        <v>65.2</v>
      </c>
      <c r="AS27">
        <v>2.4</v>
      </c>
      <c r="AU27">
        <v>5.7</v>
      </c>
      <c r="AW27">
        <v>10</v>
      </c>
      <c r="AY27">
        <v>5</v>
      </c>
      <c r="BA27">
        <v>6.5</v>
      </c>
      <c r="BC27">
        <v>5</v>
      </c>
      <c r="BE27">
        <v>4.3</v>
      </c>
      <c r="BG27">
        <v>6.9</v>
      </c>
      <c r="BI27">
        <v>10</v>
      </c>
      <c r="BK27">
        <v>9.5</v>
      </c>
    </row>
    <row r="28" spans="1:63" x14ac:dyDescent="0.25">
      <c r="A28">
        <v>27</v>
      </c>
      <c r="B28">
        <v>14164</v>
      </c>
      <c r="C28">
        <v>163</v>
      </c>
      <c r="D28">
        <v>8</v>
      </c>
      <c r="E28" t="s">
        <v>529</v>
      </c>
      <c r="F28" t="s">
        <v>552</v>
      </c>
      <c r="G28" t="s">
        <v>555</v>
      </c>
      <c r="H28" t="s">
        <v>382</v>
      </c>
      <c r="I28" t="s">
        <v>521</v>
      </c>
      <c r="J28" t="s">
        <v>525</v>
      </c>
      <c r="K28" t="s">
        <v>384</v>
      </c>
      <c r="L28">
        <v>47.600938999999997</v>
      </c>
      <c r="M28">
        <v>-122.08033500000001</v>
      </c>
      <c r="N28" s="1">
        <v>45873</v>
      </c>
      <c r="O28" s="1">
        <v>46050</v>
      </c>
      <c r="P28" t="s">
        <v>523</v>
      </c>
      <c r="Q28">
        <v>8</v>
      </c>
      <c r="S28">
        <v>40</v>
      </c>
      <c r="U28">
        <v>5</v>
      </c>
      <c r="W28">
        <v>4</v>
      </c>
      <c r="Y28">
        <v>5</v>
      </c>
      <c r="AA28">
        <v>14</v>
      </c>
      <c r="AC28">
        <v>15</v>
      </c>
      <c r="AE28">
        <v>5</v>
      </c>
      <c r="AG28">
        <v>1</v>
      </c>
      <c r="AI28" s="68">
        <v>0.64600000000000002</v>
      </c>
      <c r="AK28" s="68">
        <v>3.7999999999999999E-2</v>
      </c>
      <c r="AM28" s="68">
        <v>7.3999999999999996E-2</v>
      </c>
      <c r="AO28">
        <v>500</v>
      </c>
      <c r="AQ28">
        <v>40.200000000000003</v>
      </c>
      <c r="AS28">
        <v>4.5</v>
      </c>
      <c r="AU28">
        <v>5.7</v>
      </c>
      <c r="AW28">
        <v>4.3</v>
      </c>
      <c r="AY28">
        <v>5</v>
      </c>
      <c r="BA28">
        <v>4.7</v>
      </c>
      <c r="BC28">
        <v>3.8</v>
      </c>
      <c r="BE28">
        <v>1.4</v>
      </c>
      <c r="BG28">
        <v>1.2</v>
      </c>
      <c r="BI28">
        <v>1.4</v>
      </c>
      <c r="BK28">
        <v>8.3000000000000007</v>
      </c>
    </row>
    <row r="29" spans="1:63" x14ac:dyDescent="0.25">
      <c r="A29">
        <v>28</v>
      </c>
      <c r="B29">
        <v>14360</v>
      </c>
      <c r="C29">
        <v>3027</v>
      </c>
      <c r="D29">
        <v>8</v>
      </c>
      <c r="E29" t="s">
        <v>529</v>
      </c>
      <c r="F29" t="s">
        <v>552</v>
      </c>
      <c r="G29" t="s">
        <v>555</v>
      </c>
      <c r="H29" t="s">
        <v>159</v>
      </c>
      <c r="I29" t="s">
        <v>556</v>
      </c>
      <c r="J29" t="s">
        <v>557</v>
      </c>
      <c r="K29" t="s">
        <v>33</v>
      </c>
      <c r="L29">
        <v>47.610669999999999</v>
      </c>
      <c r="M29">
        <v>-122.06936</v>
      </c>
      <c r="N29" s="1">
        <v>45911</v>
      </c>
      <c r="O29" s="1">
        <v>46091</v>
      </c>
      <c r="P29" t="s">
        <v>523</v>
      </c>
      <c r="Q29">
        <v>8</v>
      </c>
      <c r="S29">
        <v>43</v>
      </c>
      <c r="U29">
        <v>1</v>
      </c>
      <c r="W29">
        <v>3</v>
      </c>
      <c r="Y29">
        <v>5</v>
      </c>
      <c r="AA29">
        <v>9</v>
      </c>
      <c r="AC29">
        <v>10</v>
      </c>
      <c r="AE29">
        <v>6</v>
      </c>
      <c r="AG29">
        <v>0</v>
      </c>
      <c r="AI29" s="68">
        <v>0.33400000000000002</v>
      </c>
      <c r="AK29" s="68">
        <v>6.6000000000000003E-2</v>
      </c>
      <c r="AM29" s="68">
        <v>0.10199999999999999</v>
      </c>
      <c r="AO29">
        <v>500</v>
      </c>
      <c r="AQ29">
        <v>40.200000000000003</v>
      </c>
      <c r="AS29">
        <v>5.5</v>
      </c>
      <c r="AU29">
        <v>0</v>
      </c>
      <c r="AW29">
        <v>2.9</v>
      </c>
      <c r="AY29">
        <v>5</v>
      </c>
      <c r="BA29">
        <v>1.8</v>
      </c>
      <c r="BC29">
        <v>5</v>
      </c>
      <c r="BE29">
        <v>0</v>
      </c>
      <c r="BG29">
        <v>9.6</v>
      </c>
      <c r="BI29">
        <v>2.8</v>
      </c>
      <c r="BK29">
        <v>7.6</v>
      </c>
    </row>
    <row r="30" spans="1:63" x14ac:dyDescent="0.25">
      <c r="A30">
        <v>29</v>
      </c>
      <c r="B30">
        <v>14314</v>
      </c>
      <c r="C30">
        <v>3498</v>
      </c>
      <c r="D30">
        <v>8</v>
      </c>
      <c r="E30" t="s">
        <v>529</v>
      </c>
      <c r="F30" t="s">
        <v>552</v>
      </c>
      <c r="G30" t="s">
        <v>558</v>
      </c>
      <c r="H30" t="s">
        <v>190</v>
      </c>
      <c r="I30" t="s">
        <v>521</v>
      </c>
      <c r="J30" t="s">
        <v>522</v>
      </c>
      <c r="K30" t="s">
        <v>26</v>
      </c>
      <c r="L30">
        <v>47.422747000000001</v>
      </c>
      <c r="M30">
        <v>-121.960953</v>
      </c>
      <c r="N30" s="1">
        <v>45937</v>
      </c>
      <c r="O30" s="1">
        <v>46091</v>
      </c>
      <c r="P30" t="s">
        <v>523</v>
      </c>
      <c r="Q30">
        <v>8</v>
      </c>
      <c r="S30">
        <v>62</v>
      </c>
      <c r="U30">
        <v>7</v>
      </c>
      <c r="W30">
        <v>9</v>
      </c>
      <c r="Y30">
        <v>9</v>
      </c>
      <c r="AA30">
        <v>25</v>
      </c>
      <c r="AC30">
        <v>29</v>
      </c>
      <c r="AE30">
        <v>13</v>
      </c>
      <c r="AG30">
        <v>7</v>
      </c>
      <c r="AI30" s="68">
        <v>0.20599999999999999</v>
      </c>
      <c r="AK30" s="68">
        <v>0.20599999999999999</v>
      </c>
      <c r="AM30" s="68">
        <v>0.04</v>
      </c>
      <c r="AO30">
        <v>500</v>
      </c>
      <c r="AQ30">
        <v>97.4</v>
      </c>
      <c r="AS30">
        <v>10</v>
      </c>
      <c r="AU30">
        <v>8.6</v>
      </c>
      <c r="AW30">
        <v>10</v>
      </c>
      <c r="AY30">
        <v>10</v>
      </c>
      <c r="BA30">
        <v>10</v>
      </c>
      <c r="BC30">
        <v>10</v>
      </c>
      <c r="BE30">
        <v>10</v>
      </c>
      <c r="BG30">
        <v>10</v>
      </c>
      <c r="BI30">
        <v>9.8000000000000007</v>
      </c>
      <c r="BK30">
        <v>9.1</v>
      </c>
    </row>
    <row r="31" spans="1:63" x14ac:dyDescent="0.25">
      <c r="A31">
        <v>30</v>
      </c>
      <c r="B31">
        <v>14262</v>
      </c>
      <c r="C31">
        <v>3503</v>
      </c>
      <c r="D31">
        <v>8</v>
      </c>
      <c r="E31" t="s">
        <v>529</v>
      </c>
      <c r="F31" t="s">
        <v>552</v>
      </c>
      <c r="G31" t="s">
        <v>558</v>
      </c>
      <c r="H31" t="s">
        <v>110</v>
      </c>
      <c r="I31" t="s">
        <v>521</v>
      </c>
      <c r="J31" t="s">
        <v>522</v>
      </c>
      <c r="K31" t="s">
        <v>336</v>
      </c>
      <c r="L31">
        <v>47.527135000000001</v>
      </c>
      <c r="M31">
        <v>-122.038507</v>
      </c>
      <c r="N31" s="1">
        <v>45894</v>
      </c>
      <c r="O31" s="1">
        <v>46088</v>
      </c>
      <c r="P31" t="s">
        <v>523</v>
      </c>
      <c r="Q31">
        <v>8</v>
      </c>
      <c r="S31">
        <v>45</v>
      </c>
      <c r="U31">
        <v>7</v>
      </c>
      <c r="W31">
        <v>8</v>
      </c>
      <c r="Y31">
        <v>5</v>
      </c>
      <c r="AA31">
        <v>20</v>
      </c>
      <c r="AC31">
        <v>23</v>
      </c>
      <c r="AE31">
        <v>8</v>
      </c>
      <c r="AG31">
        <v>3</v>
      </c>
      <c r="AI31" s="68">
        <v>0.40200000000000002</v>
      </c>
      <c r="AK31" s="68">
        <v>6.8000000000000005E-2</v>
      </c>
      <c r="AM31" s="68">
        <v>8.4000000000000005E-2</v>
      </c>
      <c r="AO31">
        <v>500</v>
      </c>
      <c r="AQ31">
        <v>69.7</v>
      </c>
      <c r="AS31">
        <v>6.2</v>
      </c>
      <c r="AU31">
        <v>8.6</v>
      </c>
      <c r="AW31">
        <v>10</v>
      </c>
      <c r="AY31">
        <v>5</v>
      </c>
      <c r="BA31">
        <v>9.4</v>
      </c>
      <c r="BC31">
        <v>7.5</v>
      </c>
      <c r="BE31">
        <v>4.3</v>
      </c>
      <c r="BG31">
        <v>7.8</v>
      </c>
      <c r="BI31">
        <v>2.9</v>
      </c>
      <c r="BK31">
        <v>8</v>
      </c>
    </row>
    <row r="32" spans="1:63" x14ac:dyDescent="0.25">
      <c r="A32">
        <v>31</v>
      </c>
      <c r="B32">
        <v>14084</v>
      </c>
      <c r="C32">
        <v>150</v>
      </c>
      <c r="D32">
        <v>8</v>
      </c>
      <c r="E32" t="s">
        <v>529</v>
      </c>
      <c r="F32" t="s">
        <v>552</v>
      </c>
      <c r="G32" t="s">
        <v>558</v>
      </c>
      <c r="H32" t="s">
        <v>110</v>
      </c>
      <c r="I32" t="s">
        <v>521</v>
      </c>
      <c r="J32" t="s">
        <v>525</v>
      </c>
      <c r="K32" t="s">
        <v>111</v>
      </c>
      <c r="L32">
        <v>47.551206999999998</v>
      </c>
      <c r="M32">
        <v>-122.046876</v>
      </c>
      <c r="N32" s="1">
        <v>45845</v>
      </c>
      <c r="O32" s="1">
        <v>46050</v>
      </c>
      <c r="P32" t="s">
        <v>523</v>
      </c>
      <c r="Q32">
        <v>8</v>
      </c>
      <c r="S32">
        <v>51</v>
      </c>
      <c r="U32">
        <v>8</v>
      </c>
      <c r="W32">
        <v>5</v>
      </c>
      <c r="Y32">
        <v>7</v>
      </c>
      <c r="AA32">
        <v>20</v>
      </c>
      <c r="AC32">
        <v>25</v>
      </c>
      <c r="AE32">
        <v>8</v>
      </c>
      <c r="AG32">
        <v>3</v>
      </c>
      <c r="AI32" s="68">
        <v>0.45800000000000002</v>
      </c>
      <c r="AK32" s="68">
        <v>6.2E-2</v>
      </c>
      <c r="AM32" s="68">
        <v>2.8000000000000001E-2</v>
      </c>
      <c r="AO32">
        <v>500</v>
      </c>
      <c r="AQ32">
        <v>71.5</v>
      </c>
      <c r="AS32">
        <v>8.3000000000000007</v>
      </c>
      <c r="AU32">
        <v>10</v>
      </c>
      <c r="AW32">
        <v>5.7</v>
      </c>
      <c r="AY32">
        <v>7.5</v>
      </c>
      <c r="BA32">
        <v>10</v>
      </c>
      <c r="BC32">
        <v>7.5</v>
      </c>
      <c r="BE32">
        <v>4.3</v>
      </c>
      <c r="BG32">
        <v>6.3</v>
      </c>
      <c r="BI32">
        <v>2.6</v>
      </c>
      <c r="BK32">
        <v>9.3000000000000007</v>
      </c>
    </row>
    <row r="33" spans="1:63" x14ac:dyDescent="0.25">
      <c r="A33">
        <v>32</v>
      </c>
      <c r="B33">
        <v>14350</v>
      </c>
      <c r="C33">
        <v>3611</v>
      </c>
      <c r="D33">
        <v>8</v>
      </c>
      <c r="E33" t="s">
        <v>529</v>
      </c>
      <c r="F33" t="s">
        <v>552</v>
      </c>
      <c r="G33" t="s">
        <v>559</v>
      </c>
      <c r="H33" t="s">
        <v>560</v>
      </c>
      <c r="I33" t="s">
        <v>521</v>
      </c>
      <c r="J33" t="s">
        <v>522</v>
      </c>
      <c r="K33" t="s">
        <v>45</v>
      </c>
      <c r="L33">
        <v>47.756594</v>
      </c>
      <c r="M33">
        <v>-122.1648</v>
      </c>
      <c r="N33" s="1">
        <v>45897</v>
      </c>
      <c r="O33" s="1">
        <v>46091</v>
      </c>
      <c r="P33" t="s">
        <v>523</v>
      </c>
      <c r="Q33">
        <v>8</v>
      </c>
      <c r="S33">
        <v>40</v>
      </c>
      <c r="U33">
        <v>5</v>
      </c>
      <c r="W33">
        <v>4</v>
      </c>
      <c r="Y33">
        <v>5</v>
      </c>
      <c r="AA33">
        <v>14</v>
      </c>
      <c r="AC33">
        <v>19</v>
      </c>
      <c r="AE33">
        <v>7</v>
      </c>
      <c r="AG33">
        <v>1</v>
      </c>
      <c r="AI33" s="68">
        <v>0.46200000000000002</v>
      </c>
      <c r="AK33" s="68">
        <v>6.2E-2</v>
      </c>
      <c r="AM33" s="68">
        <v>7.0000000000000007E-2</v>
      </c>
      <c r="AO33">
        <v>500</v>
      </c>
      <c r="AQ33">
        <v>51.4</v>
      </c>
      <c r="AS33">
        <v>4.5</v>
      </c>
      <c r="AU33">
        <v>5.7</v>
      </c>
      <c r="AW33">
        <v>4.3</v>
      </c>
      <c r="AY33">
        <v>5</v>
      </c>
      <c r="BA33">
        <v>7.1</v>
      </c>
      <c r="BC33">
        <v>6.2</v>
      </c>
      <c r="BE33">
        <v>1.4</v>
      </c>
      <c r="BG33">
        <v>6.2</v>
      </c>
      <c r="BI33">
        <v>2.6</v>
      </c>
      <c r="BK33">
        <v>8.4</v>
      </c>
    </row>
    <row r="34" spans="1:63" x14ac:dyDescent="0.25">
      <c r="A34">
        <v>33</v>
      </c>
      <c r="B34">
        <v>14349</v>
      </c>
      <c r="C34">
        <v>171</v>
      </c>
      <c r="D34">
        <v>8</v>
      </c>
      <c r="E34" t="s">
        <v>529</v>
      </c>
      <c r="F34" t="s">
        <v>552</v>
      </c>
      <c r="G34" t="s">
        <v>559</v>
      </c>
      <c r="H34" t="s">
        <v>560</v>
      </c>
      <c r="I34" t="s">
        <v>521</v>
      </c>
      <c r="J34" t="s">
        <v>525</v>
      </c>
      <c r="K34" t="s">
        <v>222</v>
      </c>
      <c r="L34">
        <v>47.758429</v>
      </c>
      <c r="M34">
        <v>-122.160347</v>
      </c>
      <c r="N34" s="1">
        <v>45938</v>
      </c>
      <c r="O34" s="1">
        <v>46091</v>
      </c>
      <c r="P34" t="s">
        <v>523</v>
      </c>
      <c r="Q34">
        <v>8</v>
      </c>
      <c r="S34">
        <v>35</v>
      </c>
      <c r="U34">
        <v>4</v>
      </c>
      <c r="W34">
        <v>6</v>
      </c>
      <c r="Y34">
        <v>5</v>
      </c>
      <c r="AA34">
        <v>15</v>
      </c>
      <c r="AC34">
        <v>18</v>
      </c>
      <c r="AE34">
        <v>5</v>
      </c>
      <c r="AG34">
        <v>1</v>
      </c>
      <c r="AI34" s="68">
        <v>0.42799999999999999</v>
      </c>
      <c r="AK34" s="68">
        <v>0.04</v>
      </c>
      <c r="AM34" s="68">
        <v>4.8000000000000001E-2</v>
      </c>
      <c r="AO34">
        <v>500</v>
      </c>
      <c r="AQ34">
        <v>48.3</v>
      </c>
      <c r="AS34">
        <v>2.8</v>
      </c>
      <c r="AU34">
        <v>4.3</v>
      </c>
      <c r="AW34">
        <v>7.1</v>
      </c>
      <c r="AY34">
        <v>5</v>
      </c>
      <c r="BA34">
        <v>6.5</v>
      </c>
      <c r="BC34">
        <v>3.8</v>
      </c>
      <c r="BE34">
        <v>1.4</v>
      </c>
      <c r="BG34">
        <v>7.1</v>
      </c>
      <c r="BI34">
        <v>1.5</v>
      </c>
      <c r="BK34">
        <v>8.9</v>
      </c>
    </row>
    <row r="35" spans="1:63" x14ac:dyDescent="0.25">
      <c r="A35">
        <v>34</v>
      </c>
      <c r="B35">
        <v>14218</v>
      </c>
      <c r="C35">
        <v>176</v>
      </c>
      <c r="D35">
        <v>8</v>
      </c>
      <c r="E35" t="s">
        <v>529</v>
      </c>
      <c r="F35" t="s">
        <v>552</v>
      </c>
      <c r="G35" t="s">
        <v>559</v>
      </c>
      <c r="H35" t="s">
        <v>560</v>
      </c>
      <c r="I35" t="s">
        <v>521</v>
      </c>
      <c r="J35" t="s">
        <v>525</v>
      </c>
      <c r="K35" t="s">
        <v>392</v>
      </c>
      <c r="L35">
        <v>47.811464000000001</v>
      </c>
      <c r="M35">
        <v>-122.158997</v>
      </c>
      <c r="N35" s="1">
        <v>45882</v>
      </c>
      <c r="O35" s="1">
        <v>46050</v>
      </c>
      <c r="P35" t="s">
        <v>523</v>
      </c>
      <c r="Q35">
        <v>8</v>
      </c>
      <c r="S35">
        <v>36</v>
      </c>
      <c r="U35">
        <v>4</v>
      </c>
      <c r="W35">
        <v>3</v>
      </c>
      <c r="Y35">
        <v>9</v>
      </c>
      <c r="AA35">
        <v>16</v>
      </c>
      <c r="AC35">
        <v>17</v>
      </c>
      <c r="AE35">
        <v>8</v>
      </c>
      <c r="AG35">
        <v>3</v>
      </c>
      <c r="AI35" s="68">
        <v>0.61799999999999999</v>
      </c>
      <c r="AK35" s="68">
        <v>0.11799999999999999</v>
      </c>
      <c r="AM35" s="68">
        <v>0.39</v>
      </c>
      <c r="AO35">
        <v>500</v>
      </c>
      <c r="AQ35">
        <v>46.2</v>
      </c>
      <c r="AS35">
        <v>3.1</v>
      </c>
      <c r="AU35">
        <v>4.3</v>
      </c>
      <c r="AW35">
        <v>2.9</v>
      </c>
      <c r="AY35">
        <v>10</v>
      </c>
      <c r="BA35">
        <v>5.9</v>
      </c>
      <c r="BC35">
        <v>7.5</v>
      </c>
      <c r="BE35">
        <v>4.3</v>
      </c>
      <c r="BG35">
        <v>1.9</v>
      </c>
      <c r="BI35">
        <v>5.4</v>
      </c>
      <c r="BK35">
        <v>0.9</v>
      </c>
    </row>
    <row r="36" spans="1:63" x14ac:dyDescent="0.25">
      <c r="A36">
        <v>35</v>
      </c>
      <c r="B36">
        <v>14353</v>
      </c>
      <c r="C36">
        <v>187</v>
      </c>
      <c r="D36">
        <v>8</v>
      </c>
      <c r="E36" t="s">
        <v>529</v>
      </c>
      <c r="F36" t="s">
        <v>552</v>
      </c>
      <c r="G36" t="s">
        <v>561</v>
      </c>
      <c r="H36" t="s">
        <v>257</v>
      </c>
      <c r="I36" t="s">
        <v>521</v>
      </c>
      <c r="J36" t="s">
        <v>525</v>
      </c>
      <c r="K36" t="s">
        <v>46</v>
      </c>
      <c r="L36">
        <v>47.778784000000002</v>
      </c>
      <c r="M36">
        <v>-122.187628</v>
      </c>
      <c r="N36" s="1">
        <v>45904</v>
      </c>
      <c r="O36" s="1">
        <v>46091</v>
      </c>
      <c r="P36" t="s">
        <v>523</v>
      </c>
      <c r="Q36">
        <v>8</v>
      </c>
      <c r="S36">
        <v>19</v>
      </c>
      <c r="U36">
        <v>3</v>
      </c>
      <c r="W36">
        <v>0</v>
      </c>
      <c r="Y36">
        <v>3</v>
      </c>
      <c r="AA36">
        <v>6</v>
      </c>
      <c r="AC36">
        <v>14</v>
      </c>
      <c r="AE36">
        <v>3</v>
      </c>
      <c r="AG36">
        <v>1</v>
      </c>
      <c r="AI36" s="68">
        <v>0.85799999999999998</v>
      </c>
      <c r="AK36" s="68">
        <v>0.01</v>
      </c>
      <c r="AM36" s="68">
        <v>6.0000000000000001E-3</v>
      </c>
      <c r="AO36">
        <v>500</v>
      </c>
      <c r="AQ36">
        <v>22</v>
      </c>
      <c r="AS36">
        <v>0</v>
      </c>
      <c r="AU36">
        <v>2.9</v>
      </c>
      <c r="AW36">
        <v>0</v>
      </c>
      <c r="AY36">
        <v>2.5</v>
      </c>
      <c r="BA36">
        <v>4.0999999999999996</v>
      </c>
      <c r="BC36">
        <v>1.2</v>
      </c>
      <c r="BE36">
        <v>1.4</v>
      </c>
      <c r="BG36">
        <v>0</v>
      </c>
      <c r="BI36">
        <v>0</v>
      </c>
      <c r="BK36">
        <v>9.9</v>
      </c>
    </row>
    <row r="37" spans="1:63" x14ac:dyDescent="0.25">
      <c r="A37">
        <v>36</v>
      </c>
      <c r="B37">
        <v>14317</v>
      </c>
      <c r="C37">
        <v>181</v>
      </c>
      <c r="D37">
        <v>8</v>
      </c>
      <c r="E37" t="s">
        <v>529</v>
      </c>
      <c r="F37" t="s">
        <v>552</v>
      </c>
      <c r="G37" t="s">
        <v>562</v>
      </c>
      <c r="H37" t="s">
        <v>396</v>
      </c>
      <c r="I37" t="s">
        <v>521</v>
      </c>
      <c r="J37" t="s">
        <v>525</v>
      </c>
      <c r="K37" t="s">
        <v>29</v>
      </c>
      <c r="L37">
        <v>47.779822000000003</v>
      </c>
      <c r="M37">
        <v>-122.25043100000001</v>
      </c>
      <c r="N37" s="1">
        <v>45938</v>
      </c>
      <c r="O37" s="1">
        <v>46091</v>
      </c>
      <c r="P37" t="s">
        <v>523</v>
      </c>
      <c r="Q37">
        <v>8</v>
      </c>
      <c r="S37">
        <v>38</v>
      </c>
      <c r="U37">
        <v>6</v>
      </c>
      <c r="W37">
        <v>5</v>
      </c>
      <c r="Y37">
        <v>4</v>
      </c>
      <c r="AA37">
        <v>15</v>
      </c>
      <c r="AC37">
        <v>18</v>
      </c>
      <c r="AE37">
        <v>3</v>
      </c>
      <c r="AG37">
        <v>2</v>
      </c>
      <c r="AI37" s="68">
        <v>0.54400000000000004</v>
      </c>
      <c r="AK37" s="68">
        <v>3.5999999999999997E-2</v>
      </c>
      <c r="AM37" s="68">
        <v>2.5999999999999999E-2</v>
      </c>
      <c r="AO37">
        <v>500</v>
      </c>
      <c r="AQ37">
        <v>45.6</v>
      </c>
      <c r="AS37">
        <v>3.8</v>
      </c>
      <c r="AU37">
        <v>7.1</v>
      </c>
      <c r="AW37">
        <v>5.7</v>
      </c>
      <c r="AY37">
        <v>3.8</v>
      </c>
      <c r="BA37">
        <v>6.5</v>
      </c>
      <c r="BC37">
        <v>1.2</v>
      </c>
      <c r="BE37">
        <v>2.9</v>
      </c>
      <c r="BG37">
        <v>3.9</v>
      </c>
      <c r="BI37">
        <v>1.3</v>
      </c>
      <c r="BK37">
        <v>9.4</v>
      </c>
    </row>
    <row r="38" spans="1:63" x14ac:dyDescent="0.25">
      <c r="A38">
        <v>37</v>
      </c>
      <c r="B38">
        <v>14308</v>
      </c>
      <c r="C38">
        <v>161</v>
      </c>
      <c r="D38">
        <v>8</v>
      </c>
      <c r="E38" t="s">
        <v>529</v>
      </c>
      <c r="F38" t="s">
        <v>552</v>
      </c>
      <c r="G38" t="s">
        <v>563</v>
      </c>
      <c r="H38" t="s">
        <v>377</v>
      </c>
      <c r="I38" t="s">
        <v>521</v>
      </c>
      <c r="J38" t="s">
        <v>525</v>
      </c>
      <c r="K38" t="s">
        <v>379</v>
      </c>
      <c r="L38">
        <v>47.578488</v>
      </c>
      <c r="M38">
        <v>-122.113038</v>
      </c>
      <c r="N38" s="1">
        <v>45915</v>
      </c>
      <c r="O38" s="1">
        <v>46050</v>
      </c>
      <c r="P38" t="s">
        <v>523</v>
      </c>
      <c r="Q38">
        <v>8</v>
      </c>
      <c r="S38">
        <v>31</v>
      </c>
      <c r="U38">
        <v>2</v>
      </c>
      <c r="W38">
        <v>3</v>
      </c>
      <c r="Y38">
        <v>2</v>
      </c>
      <c r="AA38">
        <v>7</v>
      </c>
      <c r="AC38">
        <v>11</v>
      </c>
      <c r="AE38">
        <v>4</v>
      </c>
      <c r="AG38">
        <v>0</v>
      </c>
      <c r="AI38" s="68">
        <v>0.66400000000000003</v>
      </c>
      <c r="AK38" s="68">
        <v>1.6E-2</v>
      </c>
      <c r="AM38" s="68">
        <v>0.224</v>
      </c>
      <c r="AO38">
        <v>500</v>
      </c>
      <c r="AQ38">
        <v>17.600000000000001</v>
      </c>
      <c r="AS38">
        <v>1.4</v>
      </c>
      <c r="AU38">
        <v>1.4</v>
      </c>
      <c r="AW38">
        <v>2.9</v>
      </c>
      <c r="AY38">
        <v>1.2</v>
      </c>
      <c r="BA38">
        <v>2.4</v>
      </c>
      <c r="BC38">
        <v>2.5</v>
      </c>
      <c r="BE38">
        <v>0</v>
      </c>
      <c r="BG38">
        <v>0.7</v>
      </c>
      <c r="BI38">
        <v>0.3</v>
      </c>
      <c r="BK38">
        <v>4.8</v>
      </c>
    </row>
    <row r="39" spans="1:63" x14ac:dyDescent="0.25">
      <c r="A39">
        <v>38</v>
      </c>
      <c r="B39">
        <v>14366</v>
      </c>
      <c r="C39">
        <v>209</v>
      </c>
      <c r="D39">
        <v>9</v>
      </c>
      <c r="E39" t="s">
        <v>564</v>
      </c>
      <c r="F39" t="s">
        <v>565</v>
      </c>
      <c r="G39" t="s">
        <v>566</v>
      </c>
      <c r="H39" t="s">
        <v>98</v>
      </c>
      <c r="I39" t="s">
        <v>521</v>
      </c>
      <c r="J39" t="s">
        <v>525</v>
      </c>
      <c r="K39" t="s">
        <v>100</v>
      </c>
      <c r="L39">
        <v>47.382722000000001</v>
      </c>
      <c r="M39">
        <v>-122.223995</v>
      </c>
      <c r="N39" s="1">
        <v>45944</v>
      </c>
      <c r="O39" s="1">
        <v>46091</v>
      </c>
      <c r="P39" t="s">
        <v>523</v>
      </c>
      <c r="Q39">
        <v>8</v>
      </c>
      <c r="S39">
        <v>31</v>
      </c>
      <c r="U39">
        <v>4</v>
      </c>
      <c r="W39">
        <v>3</v>
      </c>
      <c r="Y39">
        <v>3</v>
      </c>
      <c r="AA39">
        <v>10</v>
      </c>
      <c r="AC39">
        <v>9</v>
      </c>
      <c r="AE39">
        <v>4</v>
      </c>
      <c r="AG39">
        <v>0</v>
      </c>
      <c r="AI39" s="68">
        <v>0.72</v>
      </c>
      <c r="AK39" s="68">
        <v>1.2E-2</v>
      </c>
      <c r="AM39" s="68">
        <v>0.27200000000000002</v>
      </c>
      <c r="AO39">
        <v>500</v>
      </c>
      <c r="AQ39">
        <v>18.5</v>
      </c>
      <c r="AS39">
        <v>1.4</v>
      </c>
      <c r="AU39">
        <v>4.3</v>
      </c>
      <c r="AW39">
        <v>2.9</v>
      </c>
      <c r="AY39">
        <v>2.5</v>
      </c>
      <c r="BA39">
        <v>1.2</v>
      </c>
      <c r="BC39">
        <v>2.5</v>
      </c>
      <c r="BE39">
        <v>0</v>
      </c>
      <c r="BG39">
        <v>0</v>
      </c>
      <c r="BI39">
        <v>0.1</v>
      </c>
      <c r="BK39">
        <v>3.7</v>
      </c>
    </row>
    <row r="40" spans="1:63" x14ac:dyDescent="0.25">
      <c r="A40">
        <v>39</v>
      </c>
      <c r="B40">
        <v>14231</v>
      </c>
      <c r="C40">
        <v>3504</v>
      </c>
      <c r="D40">
        <v>9</v>
      </c>
      <c r="E40" t="s">
        <v>564</v>
      </c>
      <c r="F40" t="s">
        <v>565</v>
      </c>
      <c r="G40" t="s">
        <v>567</v>
      </c>
      <c r="H40" t="s">
        <v>134</v>
      </c>
      <c r="I40" t="s">
        <v>521</v>
      </c>
      <c r="J40" t="s">
        <v>522</v>
      </c>
      <c r="K40" t="s">
        <v>136</v>
      </c>
      <c r="L40">
        <v>47.312173000000001</v>
      </c>
      <c r="M40">
        <v>-122.09647699999999</v>
      </c>
      <c r="N40" s="1">
        <v>45887</v>
      </c>
      <c r="O40" s="1">
        <v>46050</v>
      </c>
      <c r="P40" t="s">
        <v>523</v>
      </c>
      <c r="Q40">
        <v>8</v>
      </c>
      <c r="S40">
        <v>59</v>
      </c>
      <c r="U40">
        <v>6</v>
      </c>
      <c r="W40">
        <v>7</v>
      </c>
      <c r="Y40">
        <v>8</v>
      </c>
      <c r="AA40">
        <v>21</v>
      </c>
      <c r="AC40">
        <v>23</v>
      </c>
      <c r="AE40">
        <v>7</v>
      </c>
      <c r="AG40">
        <v>2</v>
      </c>
      <c r="AI40" s="68">
        <v>0.314</v>
      </c>
      <c r="AK40" s="68">
        <v>9.8000000000000004E-2</v>
      </c>
      <c r="AM40" s="68">
        <v>0.14399999999999999</v>
      </c>
      <c r="AO40">
        <v>500</v>
      </c>
      <c r="AQ40">
        <v>74</v>
      </c>
      <c r="AS40">
        <v>10</v>
      </c>
      <c r="AU40">
        <v>7.1</v>
      </c>
      <c r="AW40">
        <v>8.6</v>
      </c>
      <c r="AY40">
        <v>8.8000000000000007</v>
      </c>
      <c r="BA40">
        <v>9.4</v>
      </c>
      <c r="BC40">
        <v>6.2</v>
      </c>
      <c r="BE40">
        <v>2.9</v>
      </c>
      <c r="BG40">
        <v>10</v>
      </c>
      <c r="BI40">
        <v>4.4000000000000004</v>
      </c>
      <c r="BK40">
        <v>6.7</v>
      </c>
    </row>
    <row r="41" spans="1:63" x14ac:dyDescent="0.25">
      <c r="A41">
        <v>40</v>
      </c>
      <c r="B41">
        <v>14312</v>
      </c>
      <c r="C41">
        <v>220</v>
      </c>
      <c r="D41">
        <v>9</v>
      </c>
      <c r="E41" t="s">
        <v>564</v>
      </c>
      <c r="F41" t="s">
        <v>565</v>
      </c>
      <c r="G41" t="s">
        <v>567</v>
      </c>
      <c r="H41" t="s">
        <v>134</v>
      </c>
      <c r="I41" t="s">
        <v>521</v>
      </c>
      <c r="J41" t="s">
        <v>525</v>
      </c>
      <c r="K41" t="s">
        <v>25</v>
      </c>
      <c r="L41">
        <v>47.328769999999999</v>
      </c>
      <c r="M41">
        <v>-122.02207199999999</v>
      </c>
      <c r="N41" s="1">
        <v>45932</v>
      </c>
      <c r="O41" s="1">
        <v>46091</v>
      </c>
      <c r="P41" t="s">
        <v>523</v>
      </c>
      <c r="Q41">
        <v>8</v>
      </c>
      <c r="S41">
        <v>43</v>
      </c>
      <c r="U41">
        <v>3</v>
      </c>
      <c r="W41">
        <v>7</v>
      </c>
      <c r="Y41">
        <v>8</v>
      </c>
      <c r="AA41">
        <v>18</v>
      </c>
      <c r="AC41">
        <v>20</v>
      </c>
      <c r="AE41">
        <v>11</v>
      </c>
      <c r="AG41">
        <v>4</v>
      </c>
      <c r="AI41" s="68">
        <v>0.622</v>
      </c>
      <c r="AK41" s="68">
        <v>0.09</v>
      </c>
      <c r="AM41" s="68">
        <v>0.01</v>
      </c>
      <c r="AO41">
        <v>500</v>
      </c>
      <c r="AQ41">
        <v>64.7</v>
      </c>
      <c r="AS41">
        <v>5.5</v>
      </c>
      <c r="AU41">
        <v>2.9</v>
      </c>
      <c r="AW41">
        <v>8.6</v>
      </c>
      <c r="AY41">
        <v>8.8000000000000007</v>
      </c>
      <c r="BA41">
        <v>7.6</v>
      </c>
      <c r="BC41">
        <v>10</v>
      </c>
      <c r="BE41">
        <v>5.7</v>
      </c>
      <c r="BG41">
        <v>1.8</v>
      </c>
      <c r="BI41">
        <v>4</v>
      </c>
      <c r="BK41">
        <v>9.8000000000000007</v>
      </c>
    </row>
    <row r="42" spans="1:63" x14ac:dyDescent="0.25">
      <c r="A42">
        <v>41</v>
      </c>
      <c r="B42">
        <v>14341</v>
      </c>
      <c r="C42">
        <v>3609</v>
      </c>
      <c r="D42">
        <v>9</v>
      </c>
      <c r="E42" t="s">
        <v>564</v>
      </c>
      <c r="F42" t="s">
        <v>565</v>
      </c>
      <c r="G42" t="s">
        <v>568</v>
      </c>
      <c r="H42" t="s">
        <v>199</v>
      </c>
      <c r="I42" t="s">
        <v>521</v>
      </c>
      <c r="J42" t="s">
        <v>522</v>
      </c>
      <c r="K42" t="s">
        <v>32</v>
      </c>
      <c r="L42">
        <v>47.341583999999997</v>
      </c>
      <c r="M42">
        <v>-122.128731</v>
      </c>
      <c r="N42" s="1">
        <v>45939</v>
      </c>
      <c r="O42" s="1">
        <v>46091</v>
      </c>
      <c r="P42" t="s">
        <v>523</v>
      </c>
      <c r="Q42">
        <v>8</v>
      </c>
      <c r="S42">
        <v>37</v>
      </c>
      <c r="U42">
        <v>7</v>
      </c>
      <c r="W42">
        <v>8</v>
      </c>
      <c r="Y42">
        <v>8</v>
      </c>
      <c r="AA42">
        <v>23</v>
      </c>
      <c r="AC42">
        <v>20</v>
      </c>
      <c r="AE42">
        <v>9</v>
      </c>
      <c r="AG42">
        <v>5</v>
      </c>
      <c r="AI42" s="68">
        <v>0.62</v>
      </c>
      <c r="AK42" s="68">
        <v>3.5999999999999997E-2</v>
      </c>
      <c r="AM42" s="68">
        <v>3.5999999999999997E-2</v>
      </c>
      <c r="AO42">
        <v>500</v>
      </c>
      <c r="AQ42">
        <v>66.7</v>
      </c>
      <c r="AS42">
        <v>3.4</v>
      </c>
      <c r="AU42">
        <v>8.6</v>
      </c>
      <c r="AW42">
        <v>10</v>
      </c>
      <c r="AY42">
        <v>8.8000000000000007</v>
      </c>
      <c r="BA42">
        <v>7.6</v>
      </c>
      <c r="BC42">
        <v>8.8000000000000007</v>
      </c>
      <c r="BE42">
        <v>7.1</v>
      </c>
      <c r="BG42">
        <v>1.9</v>
      </c>
      <c r="BI42">
        <v>1.3</v>
      </c>
      <c r="BK42">
        <v>9.1999999999999993</v>
      </c>
    </row>
    <row r="43" spans="1:63" x14ac:dyDescent="0.25">
      <c r="A43">
        <v>42</v>
      </c>
      <c r="B43">
        <v>14206</v>
      </c>
      <c r="C43">
        <v>10</v>
      </c>
      <c r="D43">
        <v>9</v>
      </c>
      <c r="E43" t="s">
        <v>564</v>
      </c>
      <c r="F43" t="s">
        <v>565</v>
      </c>
      <c r="G43" t="s">
        <v>569</v>
      </c>
      <c r="H43" t="s">
        <v>313</v>
      </c>
      <c r="I43" t="s">
        <v>546</v>
      </c>
      <c r="J43" t="s">
        <v>547</v>
      </c>
      <c r="K43" t="s">
        <v>24</v>
      </c>
      <c r="L43">
        <v>47.566307000000002</v>
      </c>
      <c r="M43">
        <v>-122.366733</v>
      </c>
      <c r="N43" s="1">
        <v>45881</v>
      </c>
      <c r="O43" s="1">
        <v>46088</v>
      </c>
      <c r="P43" t="s">
        <v>523</v>
      </c>
      <c r="Q43">
        <v>9</v>
      </c>
      <c r="S43">
        <v>11</v>
      </c>
      <c r="U43">
        <v>1</v>
      </c>
      <c r="W43">
        <v>0</v>
      </c>
      <c r="Y43">
        <v>0</v>
      </c>
      <c r="AA43">
        <v>1</v>
      </c>
      <c r="AC43">
        <v>2</v>
      </c>
      <c r="AE43">
        <v>1</v>
      </c>
      <c r="AG43">
        <v>0</v>
      </c>
      <c r="AI43" s="68">
        <v>0.87</v>
      </c>
      <c r="AK43" s="68">
        <v>0</v>
      </c>
      <c r="AM43" s="68">
        <v>0.27</v>
      </c>
      <c r="AO43">
        <v>500</v>
      </c>
      <c r="AQ43">
        <v>3.7</v>
      </c>
      <c r="AS43">
        <v>0</v>
      </c>
      <c r="AU43">
        <v>0</v>
      </c>
      <c r="AW43">
        <v>0</v>
      </c>
      <c r="AY43">
        <v>0</v>
      </c>
      <c r="BA43">
        <v>0</v>
      </c>
      <c r="BC43">
        <v>0</v>
      </c>
      <c r="BE43">
        <v>0</v>
      </c>
      <c r="BG43">
        <v>0</v>
      </c>
      <c r="BI43">
        <v>0</v>
      </c>
      <c r="BK43">
        <v>3.7</v>
      </c>
    </row>
    <row r="44" spans="1:63" x14ac:dyDescent="0.25">
      <c r="A44">
        <v>43</v>
      </c>
      <c r="B44">
        <v>14358</v>
      </c>
      <c r="C44">
        <v>239</v>
      </c>
      <c r="D44">
        <v>9</v>
      </c>
      <c r="E44" t="s">
        <v>564</v>
      </c>
      <c r="F44" t="s">
        <v>565</v>
      </c>
      <c r="G44" t="s">
        <v>570</v>
      </c>
      <c r="H44" t="s">
        <v>405</v>
      </c>
      <c r="I44" t="s">
        <v>521</v>
      </c>
      <c r="J44" t="s">
        <v>525</v>
      </c>
      <c r="K44" t="s">
        <v>38</v>
      </c>
      <c r="L44">
        <v>47.343516999999999</v>
      </c>
      <c r="M44">
        <v>-122.204491</v>
      </c>
      <c r="N44" s="1">
        <v>45917</v>
      </c>
      <c r="O44" s="1">
        <v>46091</v>
      </c>
      <c r="P44" t="s">
        <v>523</v>
      </c>
      <c r="Q44">
        <v>8</v>
      </c>
      <c r="S44">
        <v>44</v>
      </c>
      <c r="U44">
        <v>5</v>
      </c>
      <c r="W44">
        <v>6</v>
      </c>
      <c r="Y44">
        <v>3</v>
      </c>
      <c r="AA44">
        <v>14</v>
      </c>
      <c r="AC44">
        <v>12</v>
      </c>
      <c r="AE44">
        <v>6</v>
      </c>
      <c r="AG44">
        <v>3</v>
      </c>
      <c r="AI44" s="68">
        <v>0.37</v>
      </c>
      <c r="AK44" s="68">
        <v>0.104</v>
      </c>
      <c r="AM44" s="68">
        <v>4.0000000000000001E-3</v>
      </c>
      <c r="AO44">
        <v>500</v>
      </c>
      <c r="AQ44">
        <v>56.7</v>
      </c>
      <c r="AS44">
        <v>5.9</v>
      </c>
      <c r="AU44">
        <v>5.7</v>
      </c>
      <c r="AW44">
        <v>7.1</v>
      </c>
      <c r="AY44">
        <v>2.5</v>
      </c>
      <c r="BA44">
        <v>2.9</v>
      </c>
      <c r="BC44">
        <v>5</v>
      </c>
      <c r="BE44">
        <v>4.3</v>
      </c>
      <c r="BG44">
        <v>8.6</v>
      </c>
      <c r="BI44">
        <v>4.7</v>
      </c>
      <c r="BK44">
        <v>9.9</v>
      </c>
    </row>
    <row r="45" spans="1:63" x14ac:dyDescent="0.25">
      <c r="A45">
        <v>44</v>
      </c>
      <c r="B45">
        <v>14342</v>
      </c>
      <c r="C45">
        <v>3608</v>
      </c>
      <c r="D45">
        <v>9</v>
      </c>
      <c r="E45" t="s">
        <v>564</v>
      </c>
      <c r="F45" t="s">
        <v>565</v>
      </c>
      <c r="G45" t="s">
        <v>571</v>
      </c>
      <c r="H45" t="s">
        <v>572</v>
      </c>
      <c r="I45" t="s">
        <v>521</v>
      </c>
      <c r="J45" t="s">
        <v>522</v>
      </c>
      <c r="K45" t="s">
        <v>90</v>
      </c>
      <c r="L45">
        <v>47.312415999999999</v>
      </c>
      <c r="M45">
        <v>-122.165415</v>
      </c>
      <c r="N45" s="1">
        <v>45882</v>
      </c>
      <c r="O45" s="1">
        <v>46050</v>
      </c>
      <c r="P45" t="s">
        <v>523</v>
      </c>
      <c r="Q45">
        <v>8</v>
      </c>
      <c r="S45">
        <v>44</v>
      </c>
      <c r="U45">
        <v>5</v>
      </c>
      <c r="W45">
        <v>8</v>
      </c>
      <c r="Y45">
        <v>6</v>
      </c>
      <c r="AA45">
        <v>19</v>
      </c>
      <c r="AC45">
        <v>25</v>
      </c>
      <c r="AE45">
        <v>9</v>
      </c>
      <c r="AG45">
        <v>4</v>
      </c>
      <c r="AI45" s="68">
        <v>0.55600000000000005</v>
      </c>
      <c r="AK45" s="68">
        <v>7.5999999999999998E-2</v>
      </c>
      <c r="AM45" s="68">
        <v>0.06</v>
      </c>
      <c r="AO45">
        <v>500</v>
      </c>
      <c r="AQ45">
        <v>67.8</v>
      </c>
      <c r="AS45">
        <v>5.9</v>
      </c>
      <c r="AU45">
        <v>5.7</v>
      </c>
      <c r="AW45">
        <v>10</v>
      </c>
      <c r="AY45">
        <v>6.2</v>
      </c>
      <c r="BA45">
        <v>10</v>
      </c>
      <c r="BC45">
        <v>8.8000000000000007</v>
      </c>
      <c r="BE45">
        <v>5.7</v>
      </c>
      <c r="BG45">
        <v>3.6</v>
      </c>
      <c r="BI45">
        <v>3.3</v>
      </c>
      <c r="BK45">
        <v>8.6</v>
      </c>
    </row>
    <row r="46" spans="1:63" x14ac:dyDescent="0.25">
      <c r="A46">
        <v>45</v>
      </c>
      <c r="B46">
        <v>14357</v>
      </c>
      <c r="C46">
        <v>270</v>
      </c>
      <c r="D46">
        <v>9</v>
      </c>
      <c r="E46" t="s">
        <v>564</v>
      </c>
      <c r="F46" t="s">
        <v>565</v>
      </c>
      <c r="G46" t="s">
        <v>571</v>
      </c>
      <c r="H46" t="s">
        <v>262</v>
      </c>
      <c r="I46" t="s">
        <v>521</v>
      </c>
      <c r="J46" t="s">
        <v>525</v>
      </c>
      <c r="K46" t="s">
        <v>37</v>
      </c>
      <c r="L46">
        <v>47.358598999999998</v>
      </c>
      <c r="M46">
        <v>-122.125122</v>
      </c>
      <c r="N46" s="1">
        <v>45918</v>
      </c>
      <c r="O46" s="1">
        <v>46091</v>
      </c>
      <c r="P46" t="s">
        <v>523</v>
      </c>
      <c r="Q46">
        <v>8</v>
      </c>
      <c r="S46">
        <v>44</v>
      </c>
      <c r="U46">
        <v>7</v>
      </c>
      <c r="W46">
        <v>7</v>
      </c>
      <c r="Y46">
        <v>5</v>
      </c>
      <c r="AA46">
        <v>19</v>
      </c>
      <c r="AC46">
        <v>20</v>
      </c>
      <c r="AE46">
        <v>9</v>
      </c>
      <c r="AG46">
        <v>6</v>
      </c>
      <c r="AI46" s="68">
        <v>0.46200000000000002</v>
      </c>
      <c r="AK46" s="68">
        <v>0.04</v>
      </c>
      <c r="AM46" s="68">
        <v>0.154</v>
      </c>
      <c r="AO46">
        <v>500</v>
      </c>
      <c r="AQ46">
        <v>67.099999999999994</v>
      </c>
      <c r="AS46">
        <v>5.9</v>
      </c>
      <c r="AU46">
        <v>8.6</v>
      </c>
      <c r="AW46">
        <v>8.6</v>
      </c>
      <c r="AY46">
        <v>5</v>
      </c>
      <c r="BA46">
        <v>7.6</v>
      </c>
      <c r="BC46">
        <v>8.8000000000000007</v>
      </c>
      <c r="BE46">
        <v>8.6</v>
      </c>
      <c r="BG46">
        <v>6.2</v>
      </c>
      <c r="BI46">
        <v>1.5</v>
      </c>
      <c r="BK46">
        <v>6.4</v>
      </c>
    </row>
    <row r="47" spans="1:63" x14ac:dyDescent="0.25">
      <c r="A47">
        <v>46</v>
      </c>
      <c r="B47">
        <v>14285</v>
      </c>
      <c r="C47">
        <v>3506</v>
      </c>
      <c r="D47">
        <v>9</v>
      </c>
      <c r="E47" t="s">
        <v>564</v>
      </c>
      <c r="F47" t="s">
        <v>573</v>
      </c>
      <c r="G47" t="s">
        <v>574</v>
      </c>
      <c r="H47" t="s">
        <v>243</v>
      </c>
      <c r="I47" t="s">
        <v>521</v>
      </c>
      <c r="J47" t="s">
        <v>522</v>
      </c>
      <c r="K47" t="s">
        <v>20</v>
      </c>
      <c r="L47">
        <v>47.445163999999998</v>
      </c>
      <c r="M47">
        <v>-122.353769</v>
      </c>
      <c r="N47" s="1">
        <v>45910</v>
      </c>
      <c r="O47" s="1">
        <v>46050</v>
      </c>
      <c r="P47" t="s">
        <v>523</v>
      </c>
      <c r="Q47">
        <v>8</v>
      </c>
      <c r="S47">
        <v>29</v>
      </c>
      <c r="U47">
        <v>4</v>
      </c>
      <c r="W47">
        <v>3</v>
      </c>
      <c r="Y47">
        <v>2</v>
      </c>
      <c r="AA47">
        <v>9</v>
      </c>
      <c r="AC47">
        <v>11</v>
      </c>
      <c r="AE47">
        <v>4</v>
      </c>
      <c r="AG47">
        <v>1</v>
      </c>
      <c r="AI47" s="68">
        <v>0.64600000000000002</v>
      </c>
      <c r="AK47" s="68">
        <v>8.0000000000000002E-3</v>
      </c>
      <c r="AM47" s="68">
        <v>0.36</v>
      </c>
      <c r="AO47">
        <v>500</v>
      </c>
      <c r="AQ47">
        <v>18.2</v>
      </c>
      <c r="AS47">
        <v>0.7</v>
      </c>
      <c r="AU47">
        <v>4.3</v>
      </c>
      <c r="AW47">
        <v>2.9</v>
      </c>
      <c r="AY47">
        <v>1.2</v>
      </c>
      <c r="BA47">
        <v>2.4</v>
      </c>
      <c r="BC47">
        <v>2.5</v>
      </c>
      <c r="BE47">
        <v>1.4</v>
      </c>
      <c r="BG47">
        <v>1.2</v>
      </c>
      <c r="BI47">
        <v>0</v>
      </c>
      <c r="BK47">
        <v>1.6</v>
      </c>
    </row>
    <row r="48" spans="1:63" x14ac:dyDescent="0.25">
      <c r="A48">
        <v>47</v>
      </c>
      <c r="B48">
        <v>14355</v>
      </c>
      <c r="C48">
        <v>272</v>
      </c>
      <c r="D48">
        <v>9</v>
      </c>
      <c r="E48" t="s">
        <v>564</v>
      </c>
      <c r="F48" t="s">
        <v>573</v>
      </c>
      <c r="G48" t="s">
        <v>575</v>
      </c>
      <c r="H48" t="s">
        <v>576</v>
      </c>
      <c r="I48" t="s">
        <v>521</v>
      </c>
      <c r="J48" t="s">
        <v>522</v>
      </c>
      <c r="K48" t="s">
        <v>36</v>
      </c>
      <c r="L48">
        <v>47.402769999999997</v>
      </c>
      <c r="M48">
        <v>-122.51693</v>
      </c>
      <c r="N48" s="1">
        <v>45923</v>
      </c>
      <c r="O48" s="1">
        <v>46091</v>
      </c>
      <c r="P48" t="s">
        <v>523</v>
      </c>
      <c r="Q48">
        <v>8</v>
      </c>
      <c r="S48">
        <v>48</v>
      </c>
      <c r="U48">
        <v>3</v>
      </c>
      <c r="W48">
        <v>5</v>
      </c>
      <c r="Y48">
        <v>5</v>
      </c>
      <c r="AA48">
        <v>13</v>
      </c>
      <c r="AC48">
        <v>15</v>
      </c>
      <c r="AE48">
        <v>8</v>
      </c>
      <c r="AG48">
        <v>3</v>
      </c>
      <c r="AI48" s="68">
        <v>0.41</v>
      </c>
      <c r="AK48" s="68">
        <v>0.104</v>
      </c>
      <c r="AM48" s="68">
        <v>0.02</v>
      </c>
      <c r="AO48">
        <v>500</v>
      </c>
      <c r="AQ48">
        <v>59.1</v>
      </c>
      <c r="AS48">
        <v>7.2</v>
      </c>
      <c r="AU48">
        <v>2.9</v>
      </c>
      <c r="AW48">
        <v>5.7</v>
      </c>
      <c r="AY48">
        <v>5</v>
      </c>
      <c r="BA48">
        <v>4.7</v>
      </c>
      <c r="BC48">
        <v>7.5</v>
      </c>
      <c r="BE48">
        <v>4.3</v>
      </c>
      <c r="BG48">
        <v>7.6</v>
      </c>
      <c r="BI48">
        <v>4.7</v>
      </c>
      <c r="BK48">
        <v>9.5</v>
      </c>
    </row>
    <row r="49" spans="1:63" x14ac:dyDescent="0.25">
      <c r="A49">
        <v>48</v>
      </c>
      <c r="B49">
        <v>14343</v>
      </c>
      <c r="C49">
        <v>3610</v>
      </c>
      <c r="D49">
        <v>9</v>
      </c>
      <c r="E49" t="s">
        <v>564</v>
      </c>
      <c r="F49" t="s">
        <v>573</v>
      </c>
      <c r="G49" t="s">
        <v>575</v>
      </c>
      <c r="H49" t="s">
        <v>166</v>
      </c>
      <c r="I49" t="s">
        <v>521</v>
      </c>
      <c r="J49" t="s">
        <v>522</v>
      </c>
      <c r="K49" t="s">
        <v>47</v>
      </c>
      <c r="L49">
        <v>47.453778999999997</v>
      </c>
      <c r="M49">
        <v>-122.445381</v>
      </c>
      <c r="N49" s="1">
        <v>45936</v>
      </c>
      <c r="O49" s="1">
        <v>46091</v>
      </c>
      <c r="P49" t="s">
        <v>523</v>
      </c>
      <c r="Q49">
        <v>8</v>
      </c>
      <c r="S49">
        <v>49</v>
      </c>
      <c r="U49">
        <v>5</v>
      </c>
      <c r="W49">
        <v>5</v>
      </c>
      <c r="Y49">
        <v>7</v>
      </c>
      <c r="AA49">
        <v>17</v>
      </c>
      <c r="AC49">
        <v>14</v>
      </c>
      <c r="AE49">
        <v>5</v>
      </c>
      <c r="AG49">
        <v>2</v>
      </c>
      <c r="AI49" s="68">
        <v>0.60199999999999998</v>
      </c>
      <c r="AK49" s="68">
        <v>5.8000000000000003E-2</v>
      </c>
      <c r="AM49" s="68">
        <v>0.216</v>
      </c>
      <c r="AO49">
        <v>500</v>
      </c>
      <c r="AQ49">
        <v>47</v>
      </c>
      <c r="AS49">
        <v>7.6</v>
      </c>
      <c r="AU49">
        <v>5.7</v>
      </c>
      <c r="AW49">
        <v>5.7</v>
      </c>
      <c r="AY49">
        <v>7.5</v>
      </c>
      <c r="BA49">
        <v>4.0999999999999996</v>
      </c>
      <c r="BC49">
        <v>3.8</v>
      </c>
      <c r="BE49">
        <v>2.9</v>
      </c>
      <c r="BG49">
        <v>2.4</v>
      </c>
      <c r="BI49">
        <v>2.4</v>
      </c>
      <c r="BK49">
        <v>5</v>
      </c>
    </row>
    <row r="50" spans="1:63" x14ac:dyDescent="0.25">
      <c r="A50">
        <v>49</v>
      </c>
      <c r="B50">
        <v>14315</v>
      </c>
      <c r="C50">
        <v>525</v>
      </c>
      <c r="D50">
        <v>9</v>
      </c>
      <c r="E50" t="s">
        <v>564</v>
      </c>
      <c r="F50" t="s">
        <v>573</v>
      </c>
      <c r="G50" t="s">
        <v>575</v>
      </c>
      <c r="H50" t="s">
        <v>215</v>
      </c>
      <c r="I50" t="s">
        <v>521</v>
      </c>
      <c r="J50" t="s">
        <v>522</v>
      </c>
      <c r="K50" t="s">
        <v>27</v>
      </c>
      <c r="L50">
        <v>47.403458999999998</v>
      </c>
      <c r="M50">
        <v>-122.46886600000001</v>
      </c>
      <c r="N50" s="1">
        <v>45936</v>
      </c>
      <c r="O50" s="1">
        <v>46091</v>
      </c>
      <c r="P50" t="s">
        <v>523</v>
      </c>
      <c r="Q50">
        <v>8</v>
      </c>
      <c r="S50">
        <v>49</v>
      </c>
      <c r="U50">
        <v>5</v>
      </c>
      <c r="W50">
        <v>5</v>
      </c>
      <c r="Y50">
        <v>6</v>
      </c>
      <c r="AA50">
        <v>16</v>
      </c>
      <c r="AC50">
        <v>18</v>
      </c>
      <c r="AE50">
        <v>7</v>
      </c>
      <c r="AG50">
        <v>4</v>
      </c>
      <c r="AI50" s="68">
        <v>0.53600000000000003</v>
      </c>
      <c r="AK50" s="68">
        <v>0.12</v>
      </c>
      <c r="AM50" s="68">
        <v>0.01</v>
      </c>
      <c r="AO50">
        <v>500</v>
      </c>
      <c r="AQ50">
        <v>63.1</v>
      </c>
      <c r="AS50">
        <v>7.6</v>
      </c>
      <c r="AU50">
        <v>5.7</v>
      </c>
      <c r="AW50">
        <v>5.7</v>
      </c>
      <c r="AY50">
        <v>6.2</v>
      </c>
      <c r="BA50">
        <v>6.5</v>
      </c>
      <c r="BC50">
        <v>6.2</v>
      </c>
      <c r="BE50">
        <v>5.7</v>
      </c>
      <c r="BG50">
        <v>4.2</v>
      </c>
      <c r="BI50">
        <v>5.5</v>
      </c>
      <c r="BK50">
        <v>9.8000000000000007</v>
      </c>
    </row>
    <row r="51" spans="1:63" x14ac:dyDescent="0.25">
      <c r="A51">
        <v>50</v>
      </c>
      <c r="B51">
        <v>14356</v>
      </c>
      <c r="C51">
        <v>274</v>
      </c>
      <c r="D51">
        <v>9</v>
      </c>
      <c r="E51" t="s">
        <v>564</v>
      </c>
      <c r="F51" t="s">
        <v>573</v>
      </c>
      <c r="G51" t="s">
        <v>575</v>
      </c>
      <c r="H51" t="s">
        <v>250</v>
      </c>
      <c r="I51" t="s">
        <v>521</v>
      </c>
      <c r="J51" t="s">
        <v>522</v>
      </c>
      <c r="K51" t="s">
        <v>35</v>
      </c>
      <c r="L51">
        <v>47.476280000000003</v>
      </c>
      <c r="M51">
        <v>-122.4815</v>
      </c>
      <c r="N51" s="1">
        <v>45924</v>
      </c>
      <c r="O51" s="1">
        <v>46091</v>
      </c>
      <c r="P51" t="s">
        <v>523</v>
      </c>
      <c r="Q51">
        <v>8</v>
      </c>
      <c r="S51">
        <v>36</v>
      </c>
      <c r="U51">
        <v>5</v>
      </c>
      <c r="W51">
        <v>4</v>
      </c>
      <c r="Y51">
        <v>4</v>
      </c>
      <c r="AA51">
        <v>13</v>
      </c>
      <c r="AC51">
        <v>13</v>
      </c>
      <c r="AE51">
        <v>6</v>
      </c>
      <c r="AG51">
        <v>3</v>
      </c>
      <c r="AI51" s="68">
        <v>0.65</v>
      </c>
      <c r="AK51" s="68">
        <v>0.05</v>
      </c>
      <c r="AM51" s="68">
        <v>0.214</v>
      </c>
      <c r="AO51">
        <v>500</v>
      </c>
      <c r="AQ51">
        <v>37.799999999999997</v>
      </c>
      <c r="AS51">
        <v>3.1</v>
      </c>
      <c r="AU51">
        <v>5.7</v>
      </c>
      <c r="AW51">
        <v>4.3</v>
      </c>
      <c r="AY51">
        <v>3.8</v>
      </c>
      <c r="BA51">
        <v>3.5</v>
      </c>
      <c r="BC51">
        <v>5</v>
      </c>
      <c r="BE51">
        <v>4.3</v>
      </c>
      <c r="BG51">
        <v>1.1000000000000001</v>
      </c>
      <c r="BI51">
        <v>2</v>
      </c>
      <c r="BK51">
        <v>5</v>
      </c>
    </row>
    <row r="52" spans="1:63" x14ac:dyDescent="0.25">
      <c r="A52">
        <v>51</v>
      </c>
      <c r="B52">
        <v>14361</v>
      </c>
      <c r="C52">
        <v>3615</v>
      </c>
      <c r="D52">
        <v>9</v>
      </c>
      <c r="E52" t="s">
        <v>564</v>
      </c>
      <c r="F52" t="s">
        <v>573</v>
      </c>
      <c r="G52" t="s">
        <v>575</v>
      </c>
      <c r="H52" t="s">
        <v>291</v>
      </c>
      <c r="I52" t="s">
        <v>521</v>
      </c>
      <c r="J52" t="s">
        <v>522</v>
      </c>
      <c r="K52" t="s">
        <v>34</v>
      </c>
      <c r="L52">
        <v>47.334583000000002</v>
      </c>
      <c r="M52">
        <v>-122.508608</v>
      </c>
      <c r="N52" s="1">
        <v>45923</v>
      </c>
      <c r="O52" s="1">
        <v>46091</v>
      </c>
      <c r="P52" t="s">
        <v>523</v>
      </c>
      <c r="Q52">
        <v>8</v>
      </c>
      <c r="S52">
        <v>48</v>
      </c>
      <c r="U52">
        <v>5</v>
      </c>
      <c r="W52">
        <v>5</v>
      </c>
      <c r="Y52">
        <v>7</v>
      </c>
      <c r="AA52">
        <v>17</v>
      </c>
      <c r="AC52">
        <v>18</v>
      </c>
      <c r="AE52">
        <v>5</v>
      </c>
      <c r="AG52">
        <v>4</v>
      </c>
      <c r="AI52" s="68">
        <v>0.45800000000000002</v>
      </c>
      <c r="AK52" s="68">
        <v>4.3999999999999997E-2</v>
      </c>
      <c r="AM52" s="68">
        <v>6.2E-2</v>
      </c>
      <c r="AO52">
        <v>500</v>
      </c>
      <c r="AQ52">
        <v>58.6</v>
      </c>
      <c r="AS52">
        <v>7.2</v>
      </c>
      <c r="AU52">
        <v>5.7</v>
      </c>
      <c r="AW52">
        <v>5.7</v>
      </c>
      <c r="AY52">
        <v>7.5</v>
      </c>
      <c r="BA52">
        <v>6.5</v>
      </c>
      <c r="BC52">
        <v>3.8</v>
      </c>
      <c r="BE52">
        <v>5.7</v>
      </c>
      <c r="BG52">
        <v>6.3</v>
      </c>
      <c r="BI52">
        <v>1.7</v>
      </c>
      <c r="BK52">
        <v>8.6</v>
      </c>
    </row>
    <row r="53" spans="1:63" x14ac:dyDescent="0.25">
      <c r="A53">
        <v>52</v>
      </c>
      <c r="B53">
        <v>14202</v>
      </c>
      <c r="C53">
        <v>2227</v>
      </c>
      <c r="D53">
        <v>10</v>
      </c>
      <c r="E53" t="s">
        <v>577</v>
      </c>
      <c r="F53" t="s">
        <v>578</v>
      </c>
      <c r="G53" t="s">
        <v>579</v>
      </c>
      <c r="H53" t="s">
        <v>75</v>
      </c>
      <c r="I53" t="s">
        <v>521</v>
      </c>
      <c r="J53" t="s">
        <v>580</v>
      </c>
      <c r="K53" t="s">
        <v>581</v>
      </c>
      <c r="L53">
        <v>47.175524000000003</v>
      </c>
      <c r="M53">
        <v>-122.01877500000001</v>
      </c>
      <c r="N53" s="1">
        <v>45880</v>
      </c>
      <c r="O53" s="1">
        <v>46088</v>
      </c>
      <c r="P53" t="s">
        <v>523</v>
      </c>
      <c r="Q53">
        <v>8</v>
      </c>
      <c r="S53">
        <v>44</v>
      </c>
      <c r="U53">
        <v>5</v>
      </c>
      <c r="W53">
        <v>5</v>
      </c>
      <c r="Y53">
        <v>5</v>
      </c>
      <c r="AA53">
        <v>15</v>
      </c>
      <c r="AC53">
        <v>20</v>
      </c>
      <c r="AE53">
        <v>5</v>
      </c>
      <c r="AG53">
        <v>2</v>
      </c>
      <c r="AI53" s="68">
        <v>0.40600000000000003</v>
      </c>
      <c r="AK53" s="68">
        <v>0.10199999999999999</v>
      </c>
      <c r="AM53" s="68">
        <v>0.03</v>
      </c>
      <c r="AO53">
        <v>500</v>
      </c>
      <c r="AQ53">
        <v>58.1</v>
      </c>
      <c r="AS53">
        <v>5.9</v>
      </c>
      <c r="AU53">
        <v>5.7</v>
      </c>
      <c r="AW53">
        <v>5.7</v>
      </c>
      <c r="AY53">
        <v>5</v>
      </c>
      <c r="BA53">
        <v>7.6</v>
      </c>
      <c r="BC53">
        <v>3.8</v>
      </c>
      <c r="BE53">
        <v>2.9</v>
      </c>
      <c r="BG53">
        <v>7.7</v>
      </c>
      <c r="BI53">
        <v>4.5999999999999996</v>
      </c>
      <c r="BK53">
        <v>9.3000000000000007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3BCE-47C9-4D2B-B850-C3B5623376A5}">
  <dimension ref="A1:AD52"/>
  <sheetViews>
    <sheetView workbookViewId="0">
      <selection activeCell="F1" sqref="F1:I1"/>
    </sheetView>
  </sheetViews>
  <sheetFormatPr defaultColWidth="9.140625" defaultRowHeight="15" x14ac:dyDescent="0.25"/>
  <cols>
    <col min="1" max="1" width="20.7109375" style="51" customWidth="1"/>
    <col min="2" max="2" width="24.7109375" customWidth="1"/>
    <col min="3" max="3" width="26.42578125" style="51" customWidth="1"/>
    <col min="4" max="4" width="37.7109375" style="51" customWidth="1"/>
    <col min="5" max="5" width="8.7109375" style="25" customWidth="1"/>
    <col min="6" max="6" width="10.7109375" style="51" customWidth="1"/>
    <col min="7" max="10" width="20.7109375" style="51" customWidth="1"/>
    <col min="11" max="12" width="20.7109375" style="52" customWidth="1"/>
    <col min="13" max="13" width="20.7109375" style="51" customWidth="1"/>
    <col min="14" max="14" width="33.85546875" style="51" customWidth="1"/>
    <col min="15" max="16" width="20.7109375" style="53" customWidth="1"/>
    <col min="17" max="17" width="176.28515625" style="51" customWidth="1"/>
    <col min="18" max="18" width="20.7109375" style="51" customWidth="1"/>
    <col min="19" max="19" width="187.28515625" style="51" customWidth="1"/>
    <col min="20" max="20" width="152.7109375" style="54" customWidth="1"/>
    <col min="21" max="21" width="20.7109375" style="51" customWidth="1"/>
    <col min="22" max="22" width="47.85546875" style="51" customWidth="1"/>
    <col min="23" max="25" width="20.7109375" style="51" customWidth="1"/>
    <col min="26" max="26" width="11.5703125" bestFit="1" customWidth="1"/>
    <col min="27" max="27" width="13.42578125" bestFit="1" customWidth="1"/>
    <col min="28" max="28" width="60.7109375" style="55" customWidth="1"/>
    <col min="29" max="29" width="14.42578125" style="25" customWidth="1"/>
  </cols>
  <sheetData>
    <row r="1" spans="1:30" s="13" customFormat="1" ht="60" x14ac:dyDescent="0.25">
      <c r="A1" s="8" t="s">
        <v>55</v>
      </c>
      <c r="B1" s="4" t="s">
        <v>48</v>
      </c>
      <c r="C1" s="4" t="s">
        <v>49</v>
      </c>
      <c r="D1" s="4" t="s">
        <v>50</v>
      </c>
      <c r="E1" s="5" t="s">
        <v>51</v>
      </c>
      <c r="F1" s="6" t="s">
        <v>433</v>
      </c>
      <c r="G1" s="4" t="s">
        <v>434</v>
      </c>
      <c r="H1" s="4" t="s">
        <v>435</v>
      </c>
      <c r="I1" s="4" t="s">
        <v>436</v>
      </c>
      <c r="J1" s="4" t="s">
        <v>52</v>
      </c>
      <c r="K1" s="7" t="s">
        <v>53</v>
      </c>
      <c r="L1" s="7" t="s">
        <v>54</v>
      </c>
      <c r="M1" s="8" t="s">
        <v>55</v>
      </c>
      <c r="N1" s="8" t="s">
        <v>56</v>
      </c>
      <c r="O1" s="9" t="s">
        <v>57</v>
      </c>
      <c r="P1" s="9" t="s">
        <v>58</v>
      </c>
      <c r="Q1" s="4" t="s">
        <v>59</v>
      </c>
      <c r="R1" s="4" t="s">
        <v>60</v>
      </c>
      <c r="S1" s="4" t="s">
        <v>61</v>
      </c>
      <c r="T1" s="10" t="s">
        <v>62</v>
      </c>
      <c r="U1" s="4" t="s">
        <v>63</v>
      </c>
      <c r="V1" s="4" t="s">
        <v>64</v>
      </c>
      <c r="W1" s="4" t="s">
        <v>65</v>
      </c>
      <c r="X1" s="4" t="s">
        <v>66</v>
      </c>
      <c r="Y1" s="4" t="s">
        <v>67</v>
      </c>
      <c r="Z1" s="11" t="s">
        <v>68</v>
      </c>
      <c r="AA1" s="11" t="s">
        <v>69</v>
      </c>
      <c r="AB1" s="4" t="s">
        <v>70</v>
      </c>
      <c r="AC1" s="12" t="s">
        <v>71</v>
      </c>
      <c r="AD1" s="13" t="s">
        <v>72</v>
      </c>
    </row>
    <row r="2" spans="1:30" x14ac:dyDescent="0.25">
      <c r="A2" s="18" t="s">
        <v>77</v>
      </c>
      <c r="B2" s="14" t="s">
        <v>73</v>
      </c>
      <c r="C2" s="14" t="s">
        <v>74</v>
      </c>
      <c r="D2" s="14" t="s">
        <v>75</v>
      </c>
      <c r="E2" s="15">
        <v>10</v>
      </c>
      <c r="F2" s="16">
        <f>VLOOKUP(B2,[1]Landcover!$A$1:$T$52,3,FALSE)</f>
        <v>39.558549419498597</v>
      </c>
      <c r="G2" s="16">
        <f>VLOOKUP(B2,[1]Landcover!$A$1:$T$52,20,FALSE)</f>
        <v>6.1831388473510698</v>
      </c>
      <c r="H2" s="16">
        <v>10.796518996357921</v>
      </c>
      <c r="I2" s="16">
        <v>50.084142247214892</v>
      </c>
      <c r="J2" s="14" t="s">
        <v>76</v>
      </c>
      <c r="K2" s="17">
        <v>47.176084520000003</v>
      </c>
      <c r="L2" s="17">
        <v>-122.0184345</v>
      </c>
      <c r="M2" s="18" t="s">
        <v>77</v>
      </c>
      <c r="N2" s="19" t="s">
        <v>78</v>
      </c>
      <c r="O2" s="20">
        <v>47.176262999999999</v>
      </c>
      <c r="P2" s="20">
        <v>-122.018394</v>
      </c>
      <c r="Q2" s="21" t="s">
        <v>79</v>
      </c>
      <c r="R2" s="14" t="s">
        <v>76</v>
      </c>
      <c r="S2" s="22" t="s">
        <v>80</v>
      </c>
      <c r="T2" s="22" t="s">
        <v>81</v>
      </c>
      <c r="U2" s="14" t="s">
        <v>82</v>
      </c>
      <c r="V2" s="14" t="s">
        <v>83</v>
      </c>
      <c r="W2" s="14">
        <v>12099600</v>
      </c>
      <c r="X2" s="23">
        <v>47.176110999999999</v>
      </c>
      <c r="Y2" s="23">
        <v>-122.017222</v>
      </c>
      <c r="Z2" s="24"/>
      <c r="AA2" s="24"/>
      <c r="AB2" s="21" t="s">
        <v>84</v>
      </c>
      <c r="AD2" t="s">
        <v>85</v>
      </c>
    </row>
    <row r="3" spans="1:30" ht="30" x14ac:dyDescent="0.25">
      <c r="A3" s="19" t="s">
        <v>90</v>
      </c>
      <c r="B3" s="14" t="s">
        <v>86</v>
      </c>
      <c r="C3" s="14" t="s">
        <v>87</v>
      </c>
      <c r="D3" s="14" t="s">
        <v>88</v>
      </c>
      <c r="E3" s="15">
        <v>9</v>
      </c>
      <c r="F3" s="16">
        <f>VLOOKUP(B3,[1]Landcover!$A$1:$T$52,3,FALSE)</f>
        <v>170.06021159650899</v>
      </c>
      <c r="G3" s="16">
        <f>VLOOKUP(B3,[1]Landcover!$A$1:$T$52,20,FALSE)</f>
        <v>21.300235748291001</v>
      </c>
      <c r="H3" s="16">
        <v>40.072249155491534</v>
      </c>
      <c r="I3" s="16">
        <v>23.531245626509218</v>
      </c>
      <c r="J3" s="14" t="s">
        <v>89</v>
      </c>
      <c r="K3" s="17">
        <v>47.312415999999999</v>
      </c>
      <c r="L3" s="17">
        <v>-122.1654147</v>
      </c>
      <c r="M3" s="19" t="s">
        <v>90</v>
      </c>
      <c r="N3" s="19" t="s">
        <v>78</v>
      </c>
      <c r="O3" s="26">
        <v>47.312415999999999</v>
      </c>
      <c r="P3" s="26">
        <v>-122.1654147</v>
      </c>
      <c r="Q3" s="21" t="s">
        <v>91</v>
      </c>
      <c r="R3" s="27" t="s">
        <v>92</v>
      </c>
      <c r="S3" s="28" t="s">
        <v>93</v>
      </c>
      <c r="T3" s="29"/>
      <c r="U3" s="14" t="s">
        <v>94</v>
      </c>
      <c r="V3" s="14" t="s">
        <v>95</v>
      </c>
      <c r="W3" s="14">
        <v>12112600</v>
      </c>
      <c r="X3" s="23">
        <v>47.3125</v>
      </c>
      <c r="Y3" s="23">
        <v>-122.16416700000001</v>
      </c>
      <c r="Z3" s="24"/>
      <c r="AA3" s="24"/>
      <c r="AB3" s="21" t="s">
        <v>84</v>
      </c>
      <c r="AD3" t="s">
        <v>85</v>
      </c>
    </row>
    <row r="4" spans="1:30" x14ac:dyDescent="0.25">
      <c r="A4" s="19" t="s">
        <v>100</v>
      </c>
      <c r="B4" s="14" t="s">
        <v>96</v>
      </c>
      <c r="C4" s="14" t="s">
        <v>97</v>
      </c>
      <c r="D4" s="14" t="s">
        <v>98</v>
      </c>
      <c r="E4" s="15">
        <v>9</v>
      </c>
      <c r="F4" s="16">
        <f>VLOOKUP(B4,[1]Landcover!$A$1:$T$52,3,FALSE)</f>
        <v>5.7290877797160604</v>
      </c>
      <c r="G4" s="16">
        <f>VLOOKUP(B4,[1]Landcover!$A$1:$T$52,20,FALSE)</f>
        <v>44.697330474853501</v>
      </c>
      <c r="H4" s="16">
        <v>75.732873380184245</v>
      </c>
      <c r="I4" s="16">
        <v>4.240198805928233</v>
      </c>
      <c r="J4" s="14" t="s">
        <v>99</v>
      </c>
      <c r="K4" s="30">
        <v>47.382708999999998</v>
      </c>
      <c r="L4" s="30">
        <v>-122.22388100000001</v>
      </c>
      <c r="M4" s="19" t="s">
        <v>100</v>
      </c>
      <c r="N4" s="19" t="s">
        <v>101</v>
      </c>
      <c r="O4" s="26">
        <v>47.382722000000001</v>
      </c>
      <c r="P4" s="26">
        <v>-122.223995</v>
      </c>
      <c r="Q4" s="21" t="s">
        <v>100</v>
      </c>
      <c r="R4" s="14"/>
      <c r="S4" s="14" t="s">
        <v>102</v>
      </c>
      <c r="T4" s="31"/>
      <c r="U4" s="14" t="s">
        <v>103</v>
      </c>
      <c r="V4" s="14" t="s">
        <v>83</v>
      </c>
      <c r="W4" s="14">
        <v>12113347</v>
      </c>
      <c r="X4" s="23">
        <v>47.383333</v>
      </c>
      <c r="Y4" s="23">
        <v>-122.22361100000001</v>
      </c>
      <c r="Z4" s="24"/>
      <c r="AA4" s="24"/>
      <c r="AB4" s="21" t="s">
        <v>84</v>
      </c>
      <c r="AC4" s="25">
        <v>17.3</v>
      </c>
      <c r="AD4" t="s">
        <v>85</v>
      </c>
    </row>
    <row r="5" spans="1:30" x14ac:dyDescent="0.25">
      <c r="A5" s="19" t="s">
        <v>42</v>
      </c>
      <c r="B5" s="14" t="s">
        <v>104</v>
      </c>
      <c r="C5" s="14" t="s">
        <v>105</v>
      </c>
      <c r="D5" s="14" t="s">
        <v>106</v>
      </c>
      <c r="E5" s="15">
        <v>8</v>
      </c>
      <c r="F5" s="16">
        <f>VLOOKUP(B5,[1]Landcover!$A$1:$T$52,3,FALSE)</f>
        <v>39.322532116401099</v>
      </c>
      <c r="G5" s="16">
        <f>VLOOKUP(B5,[1]Landcover!$A$1:$T$52,20,FALSE)</f>
        <v>4.5569114685058603</v>
      </c>
      <c r="H5" s="16">
        <v>8.6197681492194622</v>
      </c>
      <c r="I5" s="16">
        <v>68.715096451342163</v>
      </c>
      <c r="J5" s="14">
        <v>464</v>
      </c>
      <c r="K5" s="30">
        <v>47.374298000000003</v>
      </c>
      <c r="L5" s="30">
        <v>-122.015715</v>
      </c>
      <c r="M5" s="19" t="s">
        <v>42</v>
      </c>
      <c r="N5" s="19" t="s">
        <v>101</v>
      </c>
      <c r="O5" s="26">
        <v>47.374751000000003</v>
      </c>
      <c r="P5" s="26">
        <v>-122.017672</v>
      </c>
      <c r="Q5" s="21" t="s">
        <v>42</v>
      </c>
      <c r="R5" s="14"/>
      <c r="S5" s="14" t="s">
        <v>102</v>
      </c>
      <c r="T5" s="32"/>
      <c r="U5" s="14" t="s">
        <v>103</v>
      </c>
      <c r="V5" s="14" t="s">
        <v>83</v>
      </c>
      <c r="W5" s="14">
        <v>12118400</v>
      </c>
      <c r="X5" s="23">
        <v>47.362323369999999</v>
      </c>
      <c r="Y5" s="23">
        <v>-122.0109484</v>
      </c>
      <c r="Z5" s="24"/>
      <c r="AA5" s="24"/>
      <c r="AB5" s="33" t="s">
        <v>107</v>
      </c>
      <c r="AC5" s="25">
        <v>83.8</v>
      </c>
      <c r="AD5" t="s">
        <v>103</v>
      </c>
    </row>
    <row r="6" spans="1:30" x14ac:dyDescent="0.25">
      <c r="A6" s="19" t="s">
        <v>111</v>
      </c>
      <c r="B6" s="14" t="s">
        <v>108</v>
      </c>
      <c r="C6" s="14" t="s">
        <v>109</v>
      </c>
      <c r="D6" s="14" t="s">
        <v>110</v>
      </c>
      <c r="E6" s="15">
        <v>8</v>
      </c>
      <c r="F6" s="16">
        <f>VLOOKUP(B6,[1]Landcover!$A$1:$T$52,3,FALSE)</f>
        <v>148.775586364746</v>
      </c>
      <c r="G6" s="16">
        <f>VLOOKUP(B6,[1]Landcover!$A$1:$T$52,20,FALSE)</f>
        <v>7.3361968994140598</v>
      </c>
      <c r="H6" s="16">
        <v>12.568788509815933</v>
      </c>
      <c r="I6" s="16">
        <v>67.930958420038166</v>
      </c>
      <c r="J6" s="14">
        <v>631</v>
      </c>
      <c r="K6" s="17">
        <v>47.552167189999999</v>
      </c>
      <c r="L6" s="17">
        <v>-122.04795300000001</v>
      </c>
      <c r="M6" s="19" t="s">
        <v>111</v>
      </c>
      <c r="N6" s="19" t="s">
        <v>101</v>
      </c>
      <c r="O6" s="26">
        <v>47.551206999999998</v>
      </c>
      <c r="P6" s="26">
        <v>-122.046876</v>
      </c>
      <c r="Q6" s="21" t="s">
        <v>112</v>
      </c>
      <c r="R6" s="14"/>
      <c r="S6" s="14" t="s">
        <v>102</v>
      </c>
      <c r="T6" s="31"/>
      <c r="U6" s="14" t="s">
        <v>103</v>
      </c>
      <c r="V6" s="14" t="s">
        <v>83</v>
      </c>
      <c r="W6" s="14">
        <v>12121600</v>
      </c>
      <c r="X6" s="23">
        <v>47.552320000000002</v>
      </c>
      <c r="Y6" s="23">
        <v>-122.048</v>
      </c>
      <c r="Z6" s="24"/>
      <c r="AA6" s="24"/>
      <c r="AB6" s="33" t="s">
        <v>84</v>
      </c>
      <c r="AC6" s="25">
        <v>47.3</v>
      </c>
      <c r="AD6" t="s">
        <v>85</v>
      </c>
    </row>
    <row r="7" spans="1:30" x14ac:dyDescent="0.25">
      <c r="A7" s="18" t="s">
        <v>117</v>
      </c>
      <c r="B7" s="14" t="s">
        <v>113</v>
      </c>
      <c r="C7" s="14" t="s">
        <v>114</v>
      </c>
      <c r="D7" s="14" t="s">
        <v>115</v>
      </c>
      <c r="E7" s="15">
        <v>8</v>
      </c>
      <c r="F7" s="16">
        <f>VLOOKUP(B7,[1]Landcover!$A$1:$T$52,3,FALSE)</f>
        <v>123.34249504493199</v>
      </c>
      <c r="G7" s="16">
        <f>VLOOKUP(B7,[1]Landcover!$A$1:$T$52,20,FALSE)</f>
        <v>16.955947875976602</v>
      </c>
      <c r="H7" s="16">
        <v>32.448271661996799</v>
      </c>
      <c r="I7" s="16">
        <v>26.118828170001521</v>
      </c>
      <c r="J7" s="14" t="s">
        <v>116</v>
      </c>
      <c r="K7" s="17">
        <v>47.667694599999997</v>
      </c>
      <c r="L7" s="17">
        <v>-122.1222788</v>
      </c>
      <c r="M7" s="18" t="s">
        <v>117</v>
      </c>
      <c r="N7" s="34" t="s">
        <v>118</v>
      </c>
      <c r="O7" s="20">
        <v>47.667698999999999</v>
      </c>
      <c r="P7" s="20">
        <v>-122.122276</v>
      </c>
      <c r="Q7" s="21" t="s">
        <v>119</v>
      </c>
      <c r="R7" s="14"/>
      <c r="S7" s="14" t="s">
        <v>102</v>
      </c>
      <c r="T7" s="31"/>
      <c r="U7" s="14" t="s">
        <v>103</v>
      </c>
      <c r="V7" s="14" t="s">
        <v>120</v>
      </c>
      <c r="W7" s="14" t="s">
        <v>121</v>
      </c>
      <c r="X7" s="23">
        <v>47.675049999999999</v>
      </c>
      <c r="Y7" s="23">
        <v>-122.10738000000001</v>
      </c>
      <c r="Z7" s="24"/>
      <c r="AA7" s="24"/>
      <c r="AB7" s="33"/>
      <c r="AC7" s="25">
        <v>28.7</v>
      </c>
      <c r="AD7" t="s">
        <v>122</v>
      </c>
    </row>
    <row r="8" spans="1:30" x14ac:dyDescent="0.25">
      <c r="A8" s="18" t="s">
        <v>22</v>
      </c>
      <c r="B8" s="14" t="s">
        <v>123</v>
      </c>
      <c r="C8" s="14" t="s">
        <v>124</v>
      </c>
      <c r="D8" s="14" t="s">
        <v>125</v>
      </c>
      <c r="E8" s="15">
        <v>7</v>
      </c>
      <c r="F8" s="16">
        <f>VLOOKUP(B8,[1]Landcover!$A$1:$T$52,3,FALSE)</f>
        <v>50.5372401513117</v>
      </c>
      <c r="G8" s="16">
        <f>VLOOKUP(B8,[1]Landcover!$A$1:$T$52,20,FALSE)</f>
        <v>0.93530923128128096</v>
      </c>
      <c r="H8" s="16">
        <v>1.3856037139703423</v>
      </c>
      <c r="I8" s="16">
        <v>81.943533197045397</v>
      </c>
      <c r="J8" s="14" t="s">
        <v>126</v>
      </c>
      <c r="K8" s="17">
        <v>47.743555899999897</v>
      </c>
      <c r="L8" s="17">
        <v>-121.9414716</v>
      </c>
      <c r="M8" s="18" t="s">
        <v>22</v>
      </c>
      <c r="N8" s="18" t="s">
        <v>78</v>
      </c>
      <c r="O8" s="20">
        <v>47.743071</v>
      </c>
      <c r="P8" s="20">
        <v>-121.941343</v>
      </c>
      <c r="Q8" s="21" t="s">
        <v>127</v>
      </c>
      <c r="R8" s="27" t="s">
        <v>128</v>
      </c>
      <c r="S8" s="22" t="s">
        <v>129</v>
      </c>
      <c r="T8" s="32" t="s">
        <v>130</v>
      </c>
      <c r="U8" s="14" t="s">
        <v>103</v>
      </c>
      <c r="V8" s="14" t="s">
        <v>120</v>
      </c>
      <c r="W8" s="14" t="s">
        <v>131</v>
      </c>
      <c r="X8" s="23">
        <v>47.742597199999999</v>
      </c>
      <c r="Y8" s="23">
        <v>-121.9411638</v>
      </c>
      <c r="Z8" s="24"/>
      <c r="AA8" s="24"/>
      <c r="AB8" s="33"/>
      <c r="AC8" s="25">
        <v>48.7</v>
      </c>
      <c r="AD8" t="s">
        <v>122</v>
      </c>
    </row>
    <row r="9" spans="1:30" x14ac:dyDescent="0.25">
      <c r="A9" s="34" t="s">
        <v>136</v>
      </c>
      <c r="B9" s="14" t="s">
        <v>132</v>
      </c>
      <c r="C9" s="14" t="s">
        <v>133</v>
      </c>
      <c r="D9" s="14" t="s">
        <v>134</v>
      </c>
      <c r="E9" s="15">
        <v>9</v>
      </c>
      <c r="F9" s="16">
        <f>VLOOKUP(B9,[1]Landcover!$A$1:$T$52,3,FALSE)</f>
        <v>44.271650506350198</v>
      </c>
      <c r="G9" s="16">
        <f>VLOOKUP(B9,[1]Landcover!$A$1:$T$52,20,FALSE)</f>
        <v>10.134401321411101</v>
      </c>
      <c r="H9" s="16">
        <v>19.728799979202414</v>
      </c>
      <c r="I9" s="16">
        <v>46.24207504093647</v>
      </c>
      <c r="J9" s="14" t="s">
        <v>135</v>
      </c>
      <c r="K9" s="17">
        <v>47.312297909999998</v>
      </c>
      <c r="L9" s="17">
        <v>-122.0965812</v>
      </c>
      <c r="M9" s="34" t="s">
        <v>136</v>
      </c>
      <c r="N9" s="34" t="s">
        <v>118</v>
      </c>
      <c r="O9" s="20">
        <v>47.312173000000001</v>
      </c>
      <c r="P9" s="20">
        <v>-122.09647699999999</v>
      </c>
      <c r="Q9" s="21" t="s">
        <v>137</v>
      </c>
      <c r="R9" s="14"/>
      <c r="S9" s="14" t="s">
        <v>102</v>
      </c>
      <c r="T9" s="32"/>
      <c r="U9" s="14" t="s">
        <v>103</v>
      </c>
      <c r="V9" s="14" t="s">
        <v>120</v>
      </c>
      <c r="W9" s="14" t="s">
        <v>138</v>
      </c>
      <c r="X9" s="23">
        <v>47.312579999999997</v>
      </c>
      <c r="Y9" s="23">
        <v>-122.10833</v>
      </c>
      <c r="Z9" s="24"/>
      <c r="AA9" s="24"/>
      <c r="AB9" s="33"/>
      <c r="AC9" s="25">
        <v>69.7</v>
      </c>
      <c r="AD9" t="s">
        <v>122</v>
      </c>
    </row>
    <row r="10" spans="1:30" ht="30" x14ac:dyDescent="0.25">
      <c r="A10" s="19" t="s">
        <v>25</v>
      </c>
      <c r="B10" s="14" t="s">
        <v>139</v>
      </c>
      <c r="C10" s="14" t="s">
        <v>140</v>
      </c>
      <c r="D10" s="14" t="s">
        <v>141</v>
      </c>
      <c r="E10" s="15">
        <v>9</v>
      </c>
      <c r="F10" s="16">
        <f>VLOOKUP(B10,[1]Landcover!$A$1:$T$52,3,FALSE)</f>
        <v>8.42564644135539</v>
      </c>
      <c r="G10" s="16">
        <f>VLOOKUP(B10,[1]Landcover!$A$1:$T$52,20,FALSE)</f>
        <v>6.51253461837769</v>
      </c>
      <c r="H10" s="16">
        <v>12.011488107964393</v>
      </c>
      <c r="I10" s="16">
        <v>61.809452809393441</v>
      </c>
      <c r="J10" s="14" t="s">
        <v>142</v>
      </c>
      <c r="K10" s="17">
        <v>47.326221500000003</v>
      </c>
      <c r="L10" s="17">
        <v>-122.0281099</v>
      </c>
      <c r="M10" s="19" t="s">
        <v>25</v>
      </c>
      <c r="N10" s="19" t="s">
        <v>101</v>
      </c>
      <c r="O10" s="26">
        <v>47.328769999999999</v>
      </c>
      <c r="P10" s="26">
        <v>-122.02207199999999</v>
      </c>
      <c r="Q10" s="21" t="s">
        <v>143</v>
      </c>
      <c r="R10" s="14"/>
      <c r="S10" s="14" t="s">
        <v>102</v>
      </c>
      <c r="T10" s="32" t="s">
        <v>144</v>
      </c>
      <c r="U10" s="14" t="s">
        <v>94</v>
      </c>
      <c r="V10" s="14" t="s">
        <v>145</v>
      </c>
      <c r="W10" s="14" t="s">
        <v>146</v>
      </c>
      <c r="X10" s="23">
        <v>47.326360000000001</v>
      </c>
      <c r="Y10" s="23">
        <v>-122.02816</v>
      </c>
      <c r="Z10" s="24"/>
      <c r="AA10" s="24"/>
      <c r="AB10" s="21"/>
      <c r="AC10" s="25">
        <v>71.2</v>
      </c>
      <c r="AD10" t="s">
        <v>122</v>
      </c>
    </row>
    <row r="11" spans="1:30" x14ac:dyDescent="0.25">
      <c r="A11" s="19" t="s">
        <v>31</v>
      </c>
      <c r="B11" s="14" t="s">
        <v>147</v>
      </c>
      <c r="C11" s="14" t="s">
        <v>148</v>
      </c>
      <c r="D11" s="14" t="s">
        <v>149</v>
      </c>
      <c r="E11" s="15">
        <v>8</v>
      </c>
      <c r="F11" s="16">
        <f>VLOOKUP(B11,[1]Landcover!$A$1:$T$52,3,FALSE)</f>
        <v>13.7369804315269</v>
      </c>
      <c r="G11" s="16">
        <f>VLOOKUP(B11,[1]Landcover!$A$1:$T$52,20,FALSE)</f>
        <v>24.907655715942401</v>
      </c>
      <c r="H11" s="16">
        <v>46.221446525305495</v>
      </c>
      <c r="I11" s="16">
        <v>18.75310689210891</v>
      </c>
      <c r="J11" s="14" t="s">
        <v>150</v>
      </c>
      <c r="K11" s="30">
        <v>47.565111000000002</v>
      </c>
      <c r="L11" s="30">
        <v>-122.050499</v>
      </c>
      <c r="M11" s="19" t="s">
        <v>31</v>
      </c>
      <c r="N11" s="19" t="s">
        <v>101</v>
      </c>
      <c r="O11" s="26">
        <v>47.565112999999997</v>
      </c>
      <c r="P11" s="26">
        <v>-122.0501829</v>
      </c>
      <c r="Q11" s="21" t="s">
        <v>31</v>
      </c>
      <c r="R11" s="14"/>
      <c r="S11" s="14" t="s">
        <v>102</v>
      </c>
      <c r="T11" s="31"/>
      <c r="U11" s="14" t="s">
        <v>103</v>
      </c>
      <c r="V11" s="14" t="s">
        <v>83</v>
      </c>
      <c r="W11" s="14" t="s">
        <v>151</v>
      </c>
      <c r="X11" s="23">
        <v>47.565379999999998</v>
      </c>
      <c r="Y11" s="23">
        <v>-122.0521</v>
      </c>
      <c r="Z11" s="24"/>
      <c r="AA11" s="24"/>
      <c r="AB11" s="33"/>
      <c r="AC11" s="25">
        <v>58.7</v>
      </c>
      <c r="AD11" t="s">
        <v>122</v>
      </c>
    </row>
    <row r="12" spans="1:30" x14ac:dyDescent="0.25">
      <c r="A12" s="18" t="s">
        <v>44</v>
      </c>
      <c r="B12" s="14" t="s">
        <v>152</v>
      </c>
      <c r="C12" s="14" t="s">
        <v>153</v>
      </c>
      <c r="D12" s="14" t="s">
        <v>154</v>
      </c>
      <c r="E12" s="15">
        <v>8</v>
      </c>
      <c r="F12" s="16">
        <f>VLOOKUP(B12,[1]Landcover!$A$1:$T$52,3,FALSE)</f>
        <v>2.7909910831518898</v>
      </c>
      <c r="G12" s="16">
        <f>VLOOKUP(B12,[1]Landcover!$A$1:$T$52,20,FALSE)</f>
        <v>21.239496231079102</v>
      </c>
      <c r="H12" s="16">
        <v>38.258276879787488</v>
      </c>
      <c r="I12" s="16">
        <v>20.932844001799815</v>
      </c>
      <c r="J12" s="14" t="s">
        <v>155</v>
      </c>
      <c r="K12" s="17">
        <v>47.608332169999997</v>
      </c>
      <c r="L12" s="17">
        <v>-122.0724998</v>
      </c>
      <c r="M12" s="18" t="s">
        <v>44</v>
      </c>
      <c r="N12" s="18" t="s">
        <v>101</v>
      </c>
      <c r="O12" s="20">
        <v>47.608584</v>
      </c>
      <c r="P12" s="20">
        <v>-122.071866</v>
      </c>
      <c r="Q12" s="21" t="s">
        <v>44</v>
      </c>
      <c r="R12" s="14"/>
      <c r="S12" s="14" t="s">
        <v>102</v>
      </c>
      <c r="T12" s="31"/>
      <c r="U12" s="14" t="s">
        <v>103</v>
      </c>
      <c r="V12" s="14" t="s">
        <v>83</v>
      </c>
      <c r="W12" s="14" t="s">
        <v>156</v>
      </c>
      <c r="X12" s="23">
        <v>47.608429999999998</v>
      </c>
      <c r="Y12" s="23">
        <v>-122.07279</v>
      </c>
      <c r="Z12" s="24"/>
      <c r="AA12" s="24"/>
      <c r="AB12" s="33"/>
      <c r="AC12" s="25">
        <v>64.599999999999994</v>
      </c>
      <c r="AD12" t="s">
        <v>103</v>
      </c>
    </row>
    <row r="13" spans="1:30" x14ac:dyDescent="0.25">
      <c r="A13" s="19" t="s">
        <v>33</v>
      </c>
      <c r="B13" s="14" t="s">
        <v>157</v>
      </c>
      <c r="C13" s="14" t="s">
        <v>158</v>
      </c>
      <c r="D13" s="14" t="s">
        <v>159</v>
      </c>
      <c r="E13" s="15">
        <v>8</v>
      </c>
      <c r="F13" s="16">
        <f>VLOOKUP(B13,[1]Landcover!$A$1:$T$52,3,FALSE)</f>
        <v>0.81405381620832695</v>
      </c>
      <c r="G13" s="16">
        <f>VLOOKUP(B13,[1]Landcover!$A$1:$T$52,20,FALSE)</f>
        <v>22.382097244262699</v>
      </c>
      <c r="H13" s="16">
        <v>46.184586733579593</v>
      </c>
      <c r="I13" s="16">
        <v>15.463969763368368</v>
      </c>
      <c r="J13" s="14" t="s">
        <v>160</v>
      </c>
      <c r="K13" s="17">
        <v>47.612299999999998</v>
      </c>
      <c r="L13" s="17">
        <v>-122.0685</v>
      </c>
      <c r="M13" s="19" t="s">
        <v>33</v>
      </c>
      <c r="N13" s="34" t="s">
        <v>118</v>
      </c>
      <c r="O13" s="26">
        <v>47.610669999999999</v>
      </c>
      <c r="P13" s="26">
        <v>-122.06936</v>
      </c>
      <c r="Q13" s="21" t="s">
        <v>161</v>
      </c>
      <c r="R13" s="14"/>
      <c r="S13" s="14" t="s">
        <v>102</v>
      </c>
      <c r="T13" s="22" t="s">
        <v>162</v>
      </c>
      <c r="U13" s="19" t="s">
        <v>103</v>
      </c>
      <c r="V13" s="14" t="s">
        <v>120</v>
      </c>
      <c r="W13" s="14" t="s">
        <v>163</v>
      </c>
      <c r="X13" s="23">
        <v>47.610050000000001</v>
      </c>
      <c r="Y13" s="23">
        <v>-122.066051</v>
      </c>
      <c r="Z13" s="24"/>
      <c r="AA13" s="24"/>
      <c r="AB13" s="33"/>
      <c r="AC13" s="25">
        <v>40.5</v>
      </c>
      <c r="AD13" t="s">
        <v>122</v>
      </c>
    </row>
    <row r="14" spans="1:30" ht="30" x14ac:dyDescent="0.25">
      <c r="A14" s="19" t="s">
        <v>47</v>
      </c>
      <c r="B14" s="14" t="s">
        <v>164</v>
      </c>
      <c r="C14" s="14" t="s">
        <v>165</v>
      </c>
      <c r="D14" s="14" t="s">
        <v>166</v>
      </c>
      <c r="E14" s="15">
        <v>9</v>
      </c>
      <c r="F14" s="16">
        <f>VLOOKUP(B14,[1]Landcover!$A$1:$T$52,3,FALSE)</f>
        <v>1.22627827171305</v>
      </c>
      <c r="G14" s="16">
        <f>VLOOKUP(B14,[1]Landcover!$A$1:$T$52,20,FALSE)</f>
        <v>21.5356140136719</v>
      </c>
      <c r="H14" s="16">
        <v>36.715687811374643</v>
      </c>
      <c r="I14" s="16">
        <v>26.748558506369559</v>
      </c>
      <c r="J14" s="14" t="s">
        <v>167</v>
      </c>
      <c r="K14" s="17">
        <v>47.453634280000003</v>
      </c>
      <c r="L14" s="17">
        <v>-122.44464120000001</v>
      </c>
      <c r="M14" s="19" t="s">
        <v>47</v>
      </c>
      <c r="N14" s="34" t="s">
        <v>118</v>
      </c>
      <c r="O14" s="26">
        <v>47.453778999999997</v>
      </c>
      <c r="P14" s="26">
        <v>-122.445381</v>
      </c>
      <c r="Q14" s="21" t="s">
        <v>168</v>
      </c>
      <c r="R14" s="14"/>
      <c r="S14" s="22" t="s">
        <v>169</v>
      </c>
      <c r="T14" s="22" t="s">
        <v>169</v>
      </c>
      <c r="U14" s="14" t="s">
        <v>170</v>
      </c>
      <c r="V14" s="14" t="s">
        <v>171</v>
      </c>
      <c r="W14" s="14" t="s">
        <v>172</v>
      </c>
      <c r="X14" s="23">
        <v>47.453679999999999</v>
      </c>
      <c r="Y14" s="23">
        <v>-122.44465</v>
      </c>
      <c r="Z14" s="24"/>
      <c r="AA14" s="24"/>
      <c r="AB14" s="33" t="s">
        <v>173</v>
      </c>
      <c r="AD14" t="s">
        <v>122</v>
      </c>
    </row>
    <row r="15" spans="1:30" ht="30" x14ac:dyDescent="0.25">
      <c r="A15" s="19" t="s">
        <v>2</v>
      </c>
      <c r="B15" s="14" t="s">
        <v>174</v>
      </c>
      <c r="C15" s="14" t="s">
        <v>175</v>
      </c>
      <c r="D15" s="14" t="s">
        <v>176</v>
      </c>
      <c r="E15" s="15">
        <v>8</v>
      </c>
      <c r="F15" s="16">
        <f>VLOOKUP(B15,[1]Landcover!$A$1:$T$52,3,FALSE)</f>
        <v>5.5757419563841104</v>
      </c>
      <c r="G15" s="16">
        <f>VLOOKUP(B15,[1]Landcover!$A$1:$T$52,20,FALSE)</f>
        <v>45.040374755859403</v>
      </c>
      <c r="H15" s="16">
        <v>85.790888220071849</v>
      </c>
      <c r="I15" s="16">
        <v>8.3469836681615596E-3</v>
      </c>
      <c r="J15" s="14" t="s">
        <v>177</v>
      </c>
      <c r="K15" s="30">
        <v>47.696427</v>
      </c>
      <c r="L15" s="30">
        <v>-122.18927600000001</v>
      </c>
      <c r="M15" s="19" t="s">
        <v>2</v>
      </c>
      <c r="N15" s="19" t="s">
        <v>78</v>
      </c>
      <c r="O15" s="26">
        <v>47.696244</v>
      </c>
      <c r="P15" s="26">
        <v>-122.18992900000001</v>
      </c>
      <c r="Q15" s="21" t="s">
        <v>178</v>
      </c>
      <c r="R15" s="27" t="s">
        <v>179</v>
      </c>
      <c r="S15" s="14" t="s">
        <v>102</v>
      </c>
      <c r="T15" s="32"/>
      <c r="U15" s="14" t="s">
        <v>170</v>
      </c>
      <c r="V15" s="14" t="s">
        <v>171</v>
      </c>
      <c r="W15" s="14" t="s">
        <v>180</v>
      </c>
      <c r="X15" s="23">
        <v>47.69652</v>
      </c>
      <c r="Y15" s="23">
        <v>-122.19041</v>
      </c>
      <c r="Z15" s="24"/>
      <c r="AA15" s="24"/>
      <c r="AB15" s="33" t="s">
        <v>181</v>
      </c>
      <c r="AD15" t="s">
        <v>103</v>
      </c>
    </row>
    <row r="16" spans="1:30" x14ac:dyDescent="0.25">
      <c r="A16" s="14" t="s">
        <v>18</v>
      </c>
      <c r="B16" s="14" t="s">
        <v>182</v>
      </c>
      <c r="C16" s="14" t="s">
        <v>183</v>
      </c>
      <c r="D16" s="14" t="s">
        <v>184</v>
      </c>
      <c r="E16" s="15">
        <v>7</v>
      </c>
      <c r="F16" s="16">
        <f>VLOOKUP(B16,[1]Landcover!$A$1:$T$52,3,FALSE)</f>
        <v>41.881572729277899</v>
      </c>
      <c r="G16" s="16">
        <f>VLOOKUP(B16,[1]Landcover!$A$1:$T$52,20,FALSE)</f>
        <v>0.30042752623558</v>
      </c>
      <c r="H16" s="16">
        <v>0.42322519657318519</v>
      </c>
      <c r="I16" s="16">
        <v>77.890914841555031</v>
      </c>
      <c r="J16" s="14" t="s">
        <v>185</v>
      </c>
      <c r="K16" s="30">
        <v>47.616447999999998</v>
      </c>
      <c r="L16" s="30">
        <v>-121.90148600000001</v>
      </c>
      <c r="M16" s="14" t="s">
        <v>18</v>
      </c>
      <c r="N16" s="14" t="s">
        <v>101</v>
      </c>
      <c r="O16" s="26">
        <v>47.615841000000003</v>
      </c>
      <c r="P16" s="26">
        <v>-121.900707</v>
      </c>
      <c r="Q16" s="21" t="s">
        <v>186</v>
      </c>
      <c r="R16" s="14"/>
      <c r="S16" s="14" t="s">
        <v>102</v>
      </c>
      <c r="T16" s="32"/>
      <c r="U16" s="14" t="s">
        <v>103</v>
      </c>
      <c r="V16" s="14" t="s">
        <v>83</v>
      </c>
      <c r="W16" s="14" t="s">
        <v>187</v>
      </c>
      <c r="X16" s="23">
        <v>47.616316599999998</v>
      </c>
      <c r="Y16" s="23">
        <v>-121.9069861</v>
      </c>
      <c r="Z16" s="24"/>
      <c r="AA16" s="24"/>
      <c r="AB16" s="33"/>
      <c r="AC16" s="25">
        <v>75.8</v>
      </c>
      <c r="AD16" t="s">
        <v>122</v>
      </c>
    </row>
    <row r="17" spans="1:30" x14ac:dyDescent="0.25">
      <c r="A17" s="18" t="s">
        <v>26</v>
      </c>
      <c r="B17" s="14" t="s">
        <v>188</v>
      </c>
      <c r="C17" s="14" t="s">
        <v>189</v>
      </c>
      <c r="D17" s="14" t="s">
        <v>190</v>
      </c>
      <c r="E17" s="15">
        <v>8</v>
      </c>
      <c r="F17" s="16">
        <f>VLOOKUP(B17,[1]Landcover!$A$1:$T$52,3,FALSE)</f>
        <v>14.961393459395699</v>
      </c>
      <c r="G17" s="16">
        <f>VLOOKUP(B17,[1]Landcover!$A$1:$T$52,20,FALSE)</f>
        <v>0.22439329326152799</v>
      </c>
      <c r="H17" s="16">
        <v>0.29578405374195399</v>
      </c>
      <c r="I17" s="16">
        <v>91.527625918388296</v>
      </c>
      <c r="J17" s="14" t="s">
        <v>191</v>
      </c>
      <c r="K17" s="30">
        <v>47.422834999999999</v>
      </c>
      <c r="L17" s="30">
        <v>-121.961286</v>
      </c>
      <c r="M17" s="18" t="s">
        <v>26</v>
      </c>
      <c r="N17" s="35" t="s">
        <v>78</v>
      </c>
      <c r="O17" s="20">
        <v>47.422747000000001</v>
      </c>
      <c r="P17" s="20">
        <v>-121.960953</v>
      </c>
      <c r="Q17" s="21" t="s">
        <v>192</v>
      </c>
      <c r="R17" s="27" t="s">
        <v>193</v>
      </c>
      <c r="S17" s="36" t="s">
        <v>194</v>
      </c>
      <c r="T17" s="36" t="s">
        <v>195</v>
      </c>
      <c r="U17" s="14" t="s">
        <v>103</v>
      </c>
      <c r="V17" s="14" t="s">
        <v>120</v>
      </c>
      <c r="W17" s="14" t="s">
        <v>196</v>
      </c>
      <c r="X17" s="23">
        <v>47.422890000000002</v>
      </c>
      <c r="Y17" s="23">
        <v>-121.96134000000001</v>
      </c>
      <c r="Z17" s="24"/>
      <c r="AA17" s="24"/>
      <c r="AB17" s="33"/>
      <c r="AC17" s="25">
        <v>96.1</v>
      </c>
      <c r="AD17" t="s">
        <v>122</v>
      </c>
    </row>
    <row r="18" spans="1:30" ht="30" x14ac:dyDescent="0.25">
      <c r="A18" s="19" t="s">
        <v>32</v>
      </c>
      <c r="B18" s="14" t="s">
        <v>197</v>
      </c>
      <c r="C18" s="14" t="s">
        <v>198</v>
      </c>
      <c r="D18" s="14" t="s">
        <v>199</v>
      </c>
      <c r="E18" s="15">
        <v>8</v>
      </c>
      <c r="F18" s="16">
        <f>VLOOKUP(B18,[1]Landcover!$A$1:$T$52,3,FALSE)</f>
        <v>44.257084621764101</v>
      </c>
      <c r="G18" s="16">
        <f>VLOOKUP(B18,[1]Landcover!$A$1:$T$52,20,FALSE)</f>
        <v>25.600465774536101</v>
      </c>
      <c r="H18" s="16">
        <v>46.722680330276503</v>
      </c>
      <c r="I18" s="16">
        <v>18.009699136018749</v>
      </c>
      <c r="J18" s="14" t="s">
        <v>200</v>
      </c>
      <c r="K18" s="17">
        <v>47.340415649999997</v>
      </c>
      <c r="L18" s="17">
        <v>-122.129554</v>
      </c>
      <c r="M18" s="19" t="s">
        <v>32</v>
      </c>
      <c r="N18" s="34" t="s">
        <v>118</v>
      </c>
      <c r="O18" s="20">
        <v>47.341583999999997</v>
      </c>
      <c r="P18" s="20">
        <v>-122.128731</v>
      </c>
      <c r="Q18" s="21" t="s">
        <v>201</v>
      </c>
      <c r="R18" s="14"/>
      <c r="S18" s="28" t="s">
        <v>93</v>
      </c>
      <c r="T18" s="22" t="s">
        <v>202</v>
      </c>
      <c r="U18" s="14" t="s">
        <v>170</v>
      </c>
      <c r="V18" s="14" t="s">
        <v>203</v>
      </c>
      <c r="W18" s="14" t="s">
        <v>204</v>
      </c>
      <c r="X18" s="23">
        <v>47.340389999999999</v>
      </c>
      <c r="Y18" s="23">
        <v>-122.12948</v>
      </c>
      <c r="Z18" s="24"/>
      <c r="AA18" s="24"/>
      <c r="AB18" s="33"/>
      <c r="AD18" t="s">
        <v>122</v>
      </c>
    </row>
    <row r="19" spans="1:30" ht="30" x14ac:dyDescent="0.25">
      <c r="A19" s="19" t="s">
        <v>19</v>
      </c>
      <c r="B19" s="14" t="s">
        <v>205</v>
      </c>
      <c r="C19" s="14" t="s">
        <v>206</v>
      </c>
      <c r="D19" s="14" t="s">
        <v>207</v>
      </c>
      <c r="E19" s="15">
        <v>8</v>
      </c>
      <c r="F19" s="16">
        <f>VLOOKUP(B19,[1]Landcover!$A$1:$T$52,3,FALSE)</f>
        <v>18.022832893497799</v>
      </c>
      <c r="G19" s="16">
        <f>VLOOKUP(B19,[1]Landcover!$A$1:$T$52,20,FALSE)</f>
        <v>46.3825492858887</v>
      </c>
      <c r="H19" s="16">
        <v>83.633939176797867</v>
      </c>
      <c r="I19" s="16">
        <v>2.1120515186339617</v>
      </c>
      <c r="J19" s="14">
        <v>446</v>
      </c>
      <c r="K19" s="17">
        <v>47.705362409999999</v>
      </c>
      <c r="L19" s="17">
        <v>-122.2167796</v>
      </c>
      <c r="M19" s="19" t="s">
        <v>19</v>
      </c>
      <c r="N19" s="34" t="s">
        <v>118</v>
      </c>
      <c r="O19" s="26">
        <v>47.707183000000001</v>
      </c>
      <c r="P19" s="26">
        <v>-122.215498</v>
      </c>
      <c r="Q19" s="21" t="s">
        <v>208</v>
      </c>
      <c r="R19" s="14"/>
      <c r="S19" s="22" t="s">
        <v>93</v>
      </c>
      <c r="T19" s="32" t="s">
        <v>209</v>
      </c>
      <c r="U19" s="14" t="s">
        <v>170</v>
      </c>
      <c r="V19" s="14" t="s">
        <v>210</v>
      </c>
      <c r="W19" s="14" t="s">
        <v>211</v>
      </c>
      <c r="X19" s="23">
        <v>47.70767</v>
      </c>
      <c r="Y19" s="23">
        <v>-122.2149</v>
      </c>
      <c r="Z19" s="24"/>
      <c r="AA19" s="24"/>
      <c r="AB19" s="21" t="s">
        <v>212</v>
      </c>
      <c r="AD19" t="s">
        <v>122</v>
      </c>
    </row>
    <row r="20" spans="1:30" x14ac:dyDescent="0.25">
      <c r="A20" s="19" t="s">
        <v>27</v>
      </c>
      <c r="B20" s="14" t="s">
        <v>213</v>
      </c>
      <c r="C20" s="14" t="s">
        <v>214</v>
      </c>
      <c r="D20" s="14" t="s">
        <v>215</v>
      </c>
      <c r="E20" s="15">
        <v>9</v>
      </c>
      <c r="F20" s="16">
        <f>VLOOKUP(B20,[1]Landcover!$A$1:$T$52,3,FALSE)</f>
        <v>12.396353815308901</v>
      </c>
      <c r="G20" s="16">
        <f>VLOOKUP(B20,[1]Landcover!$A$1:$T$52,20,FALSE)</f>
        <v>4.3650093078613299</v>
      </c>
      <c r="H20" s="16">
        <v>6.9918701192364132</v>
      </c>
      <c r="I20" s="16">
        <v>60.25579534471035</v>
      </c>
      <c r="J20" s="14" t="s">
        <v>216</v>
      </c>
      <c r="K20" s="17">
        <v>47.403286000000001</v>
      </c>
      <c r="L20" s="17">
        <v>-122.46872</v>
      </c>
      <c r="M20" s="19" t="s">
        <v>27</v>
      </c>
      <c r="N20" s="19" t="s">
        <v>101</v>
      </c>
      <c r="O20" s="26">
        <v>47.403458999999998</v>
      </c>
      <c r="P20" s="26">
        <v>-122.46886600000001</v>
      </c>
      <c r="Q20" s="21" t="s">
        <v>27</v>
      </c>
      <c r="R20" s="14"/>
      <c r="S20" s="14" t="s">
        <v>102</v>
      </c>
      <c r="T20" s="32"/>
      <c r="U20" s="14" t="s">
        <v>103</v>
      </c>
      <c r="V20" s="14" t="s">
        <v>83</v>
      </c>
      <c r="W20" s="14" t="s">
        <v>217</v>
      </c>
      <c r="X20" s="23">
        <v>47.403399999999998</v>
      </c>
      <c r="Y20" s="23">
        <v>-122.46881999999999</v>
      </c>
      <c r="Z20" s="24"/>
      <c r="AA20" s="24"/>
      <c r="AB20" s="21"/>
      <c r="AC20" s="25">
        <v>59</v>
      </c>
      <c r="AD20" t="s">
        <v>122</v>
      </c>
    </row>
    <row r="21" spans="1:30" ht="30" x14ac:dyDescent="0.25">
      <c r="A21" s="19" t="s">
        <v>45</v>
      </c>
      <c r="B21" s="14" t="s">
        <v>218</v>
      </c>
      <c r="C21" s="14" t="s">
        <v>219</v>
      </c>
      <c r="D21" s="14" t="s">
        <v>220</v>
      </c>
      <c r="E21" s="15">
        <v>8</v>
      </c>
      <c r="F21" s="16">
        <f>VLOOKUP(B21,[1]Landcover!$A$1:$T$52,3,FALSE)</f>
        <v>39.223016357895901</v>
      </c>
      <c r="G21" s="16">
        <f>VLOOKUP(B21,[1]Landcover!$A$1:$T$52,20,FALSE)</f>
        <v>23.755723953247099</v>
      </c>
      <c r="H21" s="16">
        <v>41.915227472782142</v>
      </c>
      <c r="I21" s="16">
        <v>16.2081622518599</v>
      </c>
      <c r="J21" s="14">
        <v>478</v>
      </c>
      <c r="K21" s="17">
        <v>47.75658353</v>
      </c>
      <c r="L21" s="17">
        <v>-122.1663877</v>
      </c>
      <c r="M21" s="19" t="s">
        <v>45</v>
      </c>
      <c r="N21" s="19" t="s">
        <v>78</v>
      </c>
      <c r="O21" s="26">
        <v>47.756593700000003</v>
      </c>
      <c r="P21" s="26">
        <v>-122.1647997</v>
      </c>
      <c r="Q21" s="21" t="s">
        <v>221</v>
      </c>
      <c r="R21" s="14" t="s">
        <v>222</v>
      </c>
      <c r="S21" s="22" t="s">
        <v>93</v>
      </c>
      <c r="T21" s="32" t="s">
        <v>223</v>
      </c>
      <c r="U21" s="14" t="s">
        <v>94</v>
      </c>
      <c r="V21" s="14" t="s">
        <v>224</v>
      </c>
      <c r="W21" s="14" t="s">
        <v>225</v>
      </c>
      <c r="X21" s="23">
        <v>47.768700000000003</v>
      </c>
      <c r="Y21" s="23">
        <v>-122.15689999999999</v>
      </c>
      <c r="Z21" s="24"/>
      <c r="AA21" s="24"/>
      <c r="AB21" s="33"/>
      <c r="AC21" s="25">
        <v>43.6</v>
      </c>
      <c r="AD21" t="s">
        <v>122</v>
      </c>
    </row>
    <row r="22" spans="1:30" x14ac:dyDescent="0.25">
      <c r="A22" s="19" t="s">
        <v>229</v>
      </c>
      <c r="B22" s="14" t="s">
        <v>226</v>
      </c>
      <c r="C22" s="14" t="s">
        <v>227</v>
      </c>
      <c r="D22" s="14" t="s">
        <v>228</v>
      </c>
      <c r="E22" s="15">
        <v>8</v>
      </c>
      <c r="F22" s="16">
        <f>VLOOKUP(B22,[1]Landcover!$A$1:$T$52,3,FALSE)</f>
        <v>10.2207817650712</v>
      </c>
      <c r="G22" s="16">
        <f>VLOOKUP(B22,[1]Landcover!$A$1:$T$52,20,FALSE)</f>
        <v>38.0432739257812</v>
      </c>
      <c r="H22" s="16">
        <v>76.826395466923643</v>
      </c>
      <c r="I22" s="16">
        <v>1.900152489542958</v>
      </c>
      <c r="J22" s="14">
        <v>430</v>
      </c>
      <c r="K22" s="17">
        <v>47.752916390000003</v>
      </c>
      <c r="L22" s="17">
        <v>-122.2777792</v>
      </c>
      <c r="M22" s="19" t="s">
        <v>229</v>
      </c>
      <c r="N22" s="34" t="s">
        <v>118</v>
      </c>
      <c r="O22" s="26">
        <v>47.753051999999997</v>
      </c>
      <c r="P22" s="26">
        <v>-122.276916</v>
      </c>
      <c r="Q22" s="21" t="s">
        <v>230</v>
      </c>
      <c r="R22" s="14"/>
      <c r="S22" s="14" t="s">
        <v>102</v>
      </c>
      <c r="T22" s="31"/>
      <c r="U22" s="14" t="s">
        <v>103</v>
      </c>
      <c r="V22" s="14" t="s">
        <v>120</v>
      </c>
      <c r="W22" s="14" t="s">
        <v>231</v>
      </c>
      <c r="X22" s="23">
        <v>47.752929999999999</v>
      </c>
      <c r="Y22" s="23">
        <v>-122.27781</v>
      </c>
      <c r="Z22" s="24"/>
      <c r="AA22" s="24"/>
      <c r="AB22" s="21"/>
      <c r="AC22" s="25">
        <v>42</v>
      </c>
      <c r="AD22" t="s">
        <v>103</v>
      </c>
    </row>
    <row r="23" spans="1:30" x14ac:dyDescent="0.25">
      <c r="A23" s="19" t="s">
        <v>39</v>
      </c>
      <c r="B23" s="14" t="s">
        <v>232</v>
      </c>
      <c r="C23" s="14" t="s">
        <v>233</v>
      </c>
      <c r="D23" s="14" t="s">
        <v>234</v>
      </c>
      <c r="E23" s="15">
        <v>8</v>
      </c>
      <c r="F23" s="16">
        <f>VLOOKUP(B23,[1]Landcover!$A$1:$T$52,3,FALSE)</f>
        <v>21.3984103475239</v>
      </c>
      <c r="G23" s="16">
        <f>VLOOKUP(B23,[1]Landcover!$A$1:$T$52,20,FALSE)</f>
        <v>46.454967498779297</v>
      </c>
      <c r="H23" s="16">
        <v>82.506331801414504</v>
      </c>
      <c r="I23" s="16">
        <v>0.382738711778074</v>
      </c>
      <c r="J23" s="14" t="s">
        <v>235</v>
      </c>
      <c r="K23" s="17">
        <v>47.75194527</v>
      </c>
      <c r="L23" s="17">
        <v>-122.2812773</v>
      </c>
      <c r="M23" s="19" t="s">
        <v>39</v>
      </c>
      <c r="N23" s="19" t="s">
        <v>101</v>
      </c>
      <c r="O23" s="26">
        <v>47.752198999999997</v>
      </c>
      <c r="P23" s="26">
        <v>-122.28187699999999</v>
      </c>
      <c r="Q23" s="21" t="s">
        <v>39</v>
      </c>
      <c r="R23" s="14"/>
      <c r="S23" s="14" t="s">
        <v>102</v>
      </c>
      <c r="T23" s="32"/>
      <c r="U23" s="14" t="s">
        <v>103</v>
      </c>
      <c r="V23" s="14" t="s">
        <v>83</v>
      </c>
      <c r="W23" s="14" t="s">
        <v>236</v>
      </c>
      <c r="X23" s="23">
        <v>47.751779999999997</v>
      </c>
      <c r="Y23" s="23">
        <v>-122.28125</v>
      </c>
      <c r="Z23" s="24"/>
      <c r="AA23" s="24"/>
      <c r="AB23" s="21"/>
      <c r="AC23" s="25">
        <v>27.4</v>
      </c>
      <c r="AD23" t="s">
        <v>103</v>
      </c>
    </row>
    <row r="24" spans="1:30" x14ac:dyDescent="0.25">
      <c r="A24" s="19" t="s">
        <v>43</v>
      </c>
      <c r="B24" s="14" t="s">
        <v>237</v>
      </c>
      <c r="C24" s="14" t="s">
        <v>238</v>
      </c>
      <c r="D24" s="14" t="s">
        <v>239</v>
      </c>
      <c r="E24" s="15">
        <v>8</v>
      </c>
      <c r="F24" s="16">
        <f>VLOOKUP(B24,[1]Landcover!$A$1:$T$52,3,FALSE)</f>
        <v>36.152286021789998</v>
      </c>
      <c r="G24" s="16">
        <f>VLOOKUP(B24,[1]Landcover!$A$1:$T$52,20,FALSE)</f>
        <v>19.869703292846701</v>
      </c>
      <c r="H24" s="16">
        <v>37.618785910308432</v>
      </c>
      <c r="I24" s="16">
        <v>36.763286590576143</v>
      </c>
      <c r="J24" s="14">
        <v>440</v>
      </c>
      <c r="K24" s="17">
        <v>47.529297470000003</v>
      </c>
      <c r="L24" s="17">
        <v>-122.2034342</v>
      </c>
      <c r="M24" s="19" t="s">
        <v>43</v>
      </c>
      <c r="N24" s="19" t="s">
        <v>101</v>
      </c>
      <c r="O24" s="26">
        <v>47.529662999999999</v>
      </c>
      <c r="P24" s="26">
        <v>-122.200605</v>
      </c>
      <c r="Q24" s="21" t="s">
        <v>43</v>
      </c>
      <c r="R24" s="14"/>
      <c r="S24" s="14" t="s">
        <v>102</v>
      </c>
      <c r="T24" s="31"/>
      <c r="U24" s="14" t="s">
        <v>103</v>
      </c>
      <c r="V24" s="14" t="s">
        <v>83</v>
      </c>
      <c r="W24" s="14" t="s">
        <v>240</v>
      </c>
      <c r="X24" s="23">
        <v>47.52993</v>
      </c>
      <c r="Y24" s="23">
        <v>-122.20133</v>
      </c>
      <c r="Z24" s="24"/>
      <c r="AA24" s="24"/>
      <c r="AB24" s="33"/>
      <c r="AC24" s="25">
        <v>51.4</v>
      </c>
      <c r="AD24" t="s">
        <v>122</v>
      </c>
    </row>
    <row r="25" spans="1:30" x14ac:dyDescent="0.25">
      <c r="A25" s="19" t="s">
        <v>20</v>
      </c>
      <c r="B25" s="14" t="s">
        <v>241</v>
      </c>
      <c r="C25" s="14" t="s">
        <v>242</v>
      </c>
      <c r="D25" s="14" t="s">
        <v>243</v>
      </c>
      <c r="E25" s="15">
        <v>9</v>
      </c>
      <c r="F25" s="16">
        <f>VLOOKUP(B25,[1]Landcover!$A$1:$T$52,3,FALSE)</f>
        <v>18.579458523314401</v>
      </c>
      <c r="G25" s="16">
        <f>VLOOKUP(B25,[1]Landcover!$A$1:$T$52,20,FALSE)</f>
        <v>50.339157104492202</v>
      </c>
      <c r="H25" s="16">
        <v>86.241964995860997</v>
      </c>
      <c r="I25" s="16">
        <v>0.53090088185854301</v>
      </c>
      <c r="J25" s="14" t="s">
        <v>244</v>
      </c>
      <c r="K25" s="30">
        <v>47.444560000000003</v>
      </c>
      <c r="L25" s="30">
        <v>-122.35451</v>
      </c>
      <c r="M25" s="19" t="s">
        <v>20</v>
      </c>
      <c r="N25" s="34" t="s">
        <v>118</v>
      </c>
      <c r="O25" s="26">
        <v>47.445163999999998</v>
      </c>
      <c r="P25" s="26">
        <v>-122.353769</v>
      </c>
      <c r="Q25" s="21" t="s">
        <v>245</v>
      </c>
      <c r="R25" s="14" t="s">
        <v>246</v>
      </c>
      <c r="S25" s="14" t="s">
        <v>102</v>
      </c>
      <c r="T25" s="32"/>
      <c r="U25" s="14" t="s">
        <v>103</v>
      </c>
      <c r="V25" s="14" t="s">
        <v>120</v>
      </c>
      <c r="W25" s="14" t="s">
        <v>247</v>
      </c>
      <c r="X25" s="23">
        <v>47.445480000000003</v>
      </c>
      <c r="Y25" s="23">
        <v>-122.35196000000001</v>
      </c>
      <c r="Z25" s="24"/>
      <c r="AA25" s="24"/>
      <c r="AB25" s="33"/>
      <c r="AC25" s="25">
        <v>31.9</v>
      </c>
      <c r="AD25" t="s">
        <v>103</v>
      </c>
    </row>
    <row r="26" spans="1:30" x14ac:dyDescent="0.25">
      <c r="A26" s="19" t="s">
        <v>35</v>
      </c>
      <c r="B26" s="14" t="s">
        <v>248</v>
      </c>
      <c r="C26" s="14" t="s">
        <v>249</v>
      </c>
      <c r="D26" s="14" t="s">
        <v>250</v>
      </c>
      <c r="E26" s="15">
        <v>9</v>
      </c>
      <c r="F26" s="16">
        <f>VLOOKUP(B26,[1]Landcover!$A$1:$T$52,3,FALSE)</f>
        <v>7.9610711556714699</v>
      </c>
      <c r="G26" s="16">
        <f>VLOOKUP(B26,[1]Landcover!$A$1:$T$52,20,FALSE)</f>
        <v>6.1117019653320304</v>
      </c>
      <c r="H26" s="16">
        <v>9.4033856410533154</v>
      </c>
      <c r="I26" s="16">
        <v>55.487952381372416</v>
      </c>
      <c r="J26" s="14" t="s">
        <v>251</v>
      </c>
      <c r="K26" s="17">
        <v>47.478298649999999</v>
      </c>
      <c r="L26" s="17">
        <v>-122.4817366</v>
      </c>
      <c r="M26" s="19" t="s">
        <v>35</v>
      </c>
      <c r="N26" s="19" t="s">
        <v>101</v>
      </c>
      <c r="O26" s="26">
        <v>47.476280000000003</v>
      </c>
      <c r="P26" s="26">
        <v>-122.4815</v>
      </c>
      <c r="Q26" s="21" t="s">
        <v>252</v>
      </c>
      <c r="R26" s="14"/>
      <c r="S26" s="14" t="s">
        <v>102</v>
      </c>
      <c r="T26" s="22" t="s">
        <v>162</v>
      </c>
      <c r="U26" s="14" t="s">
        <v>103</v>
      </c>
      <c r="V26" s="14" t="s">
        <v>83</v>
      </c>
      <c r="W26" s="14" t="s">
        <v>253</v>
      </c>
      <c r="X26" s="23">
        <v>47.478299999999997</v>
      </c>
      <c r="Y26" s="23">
        <v>-122.48173</v>
      </c>
      <c r="Z26" s="24"/>
      <c r="AA26" s="24"/>
      <c r="AB26" s="33" t="s">
        <v>254</v>
      </c>
      <c r="AC26" s="25">
        <v>43.1</v>
      </c>
      <c r="AD26" t="s">
        <v>122</v>
      </c>
    </row>
    <row r="27" spans="1:30" x14ac:dyDescent="0.25">
      <c r="A27" s="19" t="s">
        <v>46</v>
      </c>
      <c r="B27" s="14" t="s">
        <v>255</v>
      </c>
      <c r="C27" s="14" t="s">
        <v>256</v>
      </c>
      <c r="D27" s="14" t="s">
        <v>257</v>
      </c>
      <c r="E27" s="15">
        <v>8</v>
      </c>
      <c r="F27" s="16">
        <f>VLOOKUP(B27,[1]Landcover!$A$1:$T$52,3,FALSE)</f>
        <v>69.384772948851094</v>
      </c>
      <c r="G27" s="16">
        <f>VLOOKUP(B27,[1]Landcover!$A$1:$T$52,20,FALSE)</f>
        <v>42.0156440734863</v>
      </c>
      <c r="H27" s="16">
        <v>74.012754112482028</v>
      </c>
      <c r="I27" s="16">
        <v>2.719381661154336</v>
      </c>
      <c r="J27" s="14" t="s">
        <v>258</v>
      </c>
      <c r="K27" s="17">
        <v>47.779915860000003</v>
      </c>
      <c r="L27" s="17">
        <v>-122.1881406</v>
      </c>
      <c r="M27" s="19" t="s">
        <v>46</v>
      </c>
      <c r="N27" s="19" t="s">
        <v>101</v>
      </c>
      <c r="O27" s="26">
        <v>47.778784000000002</v>
      </c>
      <c r="P27" s="26">
        <v>-122.187628</v>
      </c>
      <c r="Q27" s="21" t="s">
        <v>46</v>
      </c>
      <c r="R27" s="14"/>
      <c r="S27" s="14" t="s">
        <v>102</v>
      </c>
      <c r="T27" s="32"/>
      <c r="U27" s="14" t="s">
        <v>103</v>
      </c>
      <c r="V27" s="14" t="s">
        <v>83</v>
      </c>
      <c r="W27" s="14" t="s">
        <v>259</v>
      </c>
      <c r="X27" s="23">
        <v>47.770359999999997</v>
      </c>
      <c r="Y27" s="23">
        <v>-122.18592099999999</v>
      </c>
      <c r="Z27" s="24"/>
      <c r="AA27" s="24"/>
      <c r="AB27" s="33"/>
      <c r="AC27" s="25">
        <v>21</v>
      </c>
      <c r="AD27" t="s">
        <v>103</v>
      </c>
    </row>
    <row r="28" spans="1:30" x14ac:dyDescent="0.25">
      <c r="A28" s="19" t="s">
        <v>37</v>
      </c>
      <c r="B28" s="14" t="s">
        <v>260</v>
      </c>
      <c r="C28" s="14" t="s">
        <v>261</v>
      </c>
      <c r="D28" s="14" t="s">
        <v>262</v>
      </c>
      <c r="E28" s="15">
        <v>9</v>
      </c>
      <c r="F28" s="16">
        <f>VLOOKUP(B28,[1]Landcover!$A$1:$T$52,3,FALSE)</f>
        <v>8.3960449746188104</v>
      </c>
      <c r="G28" s="16">
        <f>VLOOKUP(B28,[1]Landcover!$A$1:$T$52,20,FALSE)</f>
        <v>20.157539367675799</v>
      </c>
      <c r="H28" s="16">
        <v>36.695523373782649</v>
      </c>
      <c r="I28" s="16">
        <v>20.013960078358679</v>
      </c>
      <c r="J28" s="14" t="s">
        <v>263</v>
      </c>
      <c r="K28" s="17">
        <v>47.357972050000001</v>
      </c>
      <c r="L28" s="17">
        <v>-122.1256959</v>
      </c>
      <c r="M28" s="19" t="s">
        <v>37</v>
      </c>
      <c r="N28" s="19" t="s">
        <v>101</v>
      </c>
      <c r="O28" s="26">
        <v>47.358598999999998</v>
      </c>
      <c r="P28" s="26">
        <v>-122.125122</v>
      </c>
      <c r="Q28" s="21" t="s">
        <v>264</v>
      </c>
      <c r="R28" s="14"/>
      <c r="S28" s="14" t="s">
        <v>102</v>
      </c>
      <c r="T28" s="31"/>
      <c r="U28" s="14" t="s">
        <v>103</v>
      </c>
      <c r="V28" s="14" t="s">
        <v>83</v>
      </c>
      <c r="W28" s="14" t="s">
        <v>265</v>
      </c>
      <c r="X28" s="23">
        <v>47.358240000000002</v>
      </c>
      <c r="Y28" s="23">
        <v>-122.12526</v>
      </c>
      <c r="Z28" s="24"/>
      <c r="AA28" s="24"/>
      <c r="AB28" s="21"/>
      <c r="AC28" s="25">
        <v>56.2</v>
      </c>
      <c r="AD28" t="s">
        <v>122</v>
      </c>
    </row>
    <row r="29" spans="1:30" x14ac:dyDescent="0.25">
      <c r="A29" s="19" t="s">
        <v>21</v>
      </c>
      <c r="B29" s="14" t="s">
        <v>266</v>
      </c>
      <c r="C29" s="14" t="s">
        <v>267</v>
      </c>
      <c r="D29" s="14" t="s">
        <v>268</v>
      </c>
      <c r="E29" s="15">
        <v>8</v>
      </c>
      <c r="F29" s="16">
        <f>VLOOKUP(B29,[1]Landcover!$A$1:$T$52,3,FALSE)</f>
        <v>27.4073630973656</v>
      </c>
      <c r="G29" s="16">
        <f>VLOOKUP(B29,[1]Landcover!$A$1:$T$52,20,FALSE)</f>
        <v>49.6357612609863</v>
      </c>
      <c r="H29" s="16">
        <v>91.226733475923567</v>
      </c>
      <c r="I29" s="16">
        <v>0.82094725221395504</v>
      </c>
      <c r="J29" s="14">
        <v>434</v>
      </c>
      <c r="K29" s="17">
        <v>47.6963066</v>
      </c>
      <c r="L29" s="17">
        <v>-122.2766397</v>
      </c>
      <c r="M29" s="19" t="s">
        <v>21</v>
      </c>
      <c r="N29" s="34" t="s">
        <v>118</v>
      </c>
      <c r="O29" s="26">
        <v>47.696095999999997</v>
      </c>
      <c r="P29" s="26">
        <v>-122.276095</v>
      </c>
      <c r="Q29" s="21" t="s">
        <v>269</v>
      </c>
      <c r="R29" s="14"/>
      <c r="S29" s="14" t="s">
        <v>102</v>
      </c>
      <c r="T29" s="32"/>
      <c r="U29" s="19" t="s">
        <v>103</v>
      </c>
      <c r="V29" s="14" t="s">
        <v>120</v>
      </c>
      <c r="W29" s="14" t="s">
        <v>270</v>
      </c>
      <c r="X29" s="23">
        <v>47.696240000000003</v>
      </c>
      <c r="Y29" s="23">
        <v>-122.27651</v>
      </c>
      <c r="Z29" s="24"/>
      <c r="AA29" s="24"/>
      <c r="AB29" s="33"/>
      <c r="AC29" s="25">
        <v>10.7</v>
      </c>
      <c r="AD29" t="s">
        <v>122</v>
      </c>
    </row>
    <row r="30" spans="1:30" ht="30" x14ac:dyDescent="0.25">
      <c r="A30" s="19" t="s">
        <v>30</v>
      </c>
      <c r="B30" s="14" t="s">
        <v>271</v>
      </c>
      <c r="C30" s="14" t="s">
        <v>272</v>
      </c>
      <c r="D30" s="14" t="s">
        <v>273</v>
      </c>
      <c r="E30" s="15">
        <v>8</v>
      </c>
      <c r="F30" s="16">
        <f>VLOOKUP(B30,[1]Landcover!$A$1:$T$52,3,FALSE)</f>
        <v>4.1837016875987398</v>
      </c>
      <c r="G30" s="16">
        <f>VLOOKUP(B30,[1]Landcover!$A$1:$T$52,20,FALSE)</f>
        <v>29.496578216552699</v>
      </c>
      <c r="H30" s="16">
        <v>57.659875508397839</v>
      </c>
      <c r="I30" s="16">
        <v>21.1614167317748</v>
      </c>
      <c r="J30" s="14" t="s">
        <v>274</v>
      </c>
      <c r="K30" s="17">
        <v>47.57061195</v>
      </c>
      <c r="L30" s="17">
        <v>-122.092277</v>
      </c>
      <c r="M30" s="19" t="s">
        <v>30</v>
      </c>
      <c r="N30" s="34" t="s">
        <v>118</v>
      </c>
      <c r="O30" s="26">
        <v>47.570250000000001</v>
      </c>
      <c r="P30" s="26">
        <v>-122.092185</v>
      </c>
      <c r="Q30" s="21" t="s">
        <v>275</v>
      </c>
      <c r="R30" s="14"/>
      <c r="S30" s="22" t="s">
        <v>93</v>
      </c>
      <c r="T30" s="37" t="s">
        <v>276</v>
      </c>
      <c r="U30" s="14" t="s">
        <v>170</v>
      </c>
      <c r="V30" s="14" t="s">
        <v>203</v>
      </c>
      <c r="W30" s="14" t="s">
        <v>277</v>
      </c>
      <c r="X30" s="23">
        <v>47.563769999999998</v>
      </c>
      <c r="Y30" s="23">
        <v>-122.09466999999999</v>
      </c>
      <c r="Z30" s="24"/>
      <c r="AA30" s="24"/>
      <c r="AB30" s="33"/>
      <c r="AD30" t="s">
        <v>122</v>
      </c>
    </row>
    <row r="31" spans="1:30" ht="30" x14ac:dyDescent="0.25">
      <c r="A31" s="19" t="s">
        <v>282</v>
      </c>
      <c r="B31" s="14" t="s">
        <v>278</v>
      </c>
      <c r="C31" s="14" t="s">
        <v>279</v>
      </c>
      <c r="D31" s="14" t="s">
        <v>280</v>
      </c>
      <c r="E31" s="15">
        <v>8</v>
      </c>
      <c r="F31" s="16">
        <f>VLOOKUP(B31,[1]Landcover!$A$1:$T$52,3,FALSE)</f>
        <v>1.5982777951934699</v>
      </c>
      <c r="G31" s="16">
        <f>VLOOKUP(B31,[1]Landcover!$A$1:$T$52,20,FALSE)</f>
        <v>41.580722808837898</v>
      </c>
      <c r="H31" s="16">
        <v>84.980198508128538</v>
      </c>
      <c r="I31" s="16">
        <v>2.533977525308726</v>
      </c>
      <c r="J31" s="14" t="s">
        <v>281</v>
      </c>
      <c r="K31" s="17">
        <v>47.64309154</v>
      </c>
      <c r="L31" s="17">
        <v>-122.10252730000001</v>
      </c>
      <c r="M31" s="19" t="s">
        <v>282</v>
      </c>
      <c r="N31" s="19" t="s">
        <v>78</v>
      </c>
      <c r="O31" s="26">
        <v>47.64309154</v>
      </c>
      <c r="P31" s="26">
        <v>-122.10252730000001</v>
      </c>
      <c r="Q31" s="21" t="s">
        <v>283</v>
      </c>
      <c r="R31" s="27" t="s">
        <v>284</v>
      </c>
      <c r="S31" s="37" t="s">
        <v>285</v>
      </c>
      <c r="T31" s="37" t="s">
        <v>286</v>
      </c>
      <c r="U31" s="14" t="s">
        <v>170</v>
      </c>
      <c r="V31" s="14" t="s">
        <v>171</v>
      </c>
      <c r="W31" s="14" t="s">
        <v>287</v>
      </c>
      <c r="X31" s="23">
        <v>47.642389999999999</v>
      </c>
      <c r="Y31" s="23">
        <v>-122.10460557</v>
      </c>
      <c r="Z31" s="24"/>
      <c r="AA31" s="24"/>
      <c r="AB31" s="33" t="s">
        <v>288</v>
      </c>
      <c r="AD31" t="s">
        <v>103</v>
      </c>
    </row>
    <row r="32" spans="1:30" ht="30" x14ac:dyDescent="0.25">
      <c r="A32" s="19" t="s">
        <v>34</v>
      </c>
      <c r="B32" s="14" t="s">
        <v>289</v>
      </c>
      <c r="C32" s="14" t="s">
        <v>290</v>
      </c>
      <c r="D32" s="14" t="s">
        <v>291</v>
      </c>
      <c r="E32" s="15">
        <v>9</v>
      </c>
      <c r="F32" s="16">
        <f>VLOOKUP(B32,[1]Landcover!$A$1:$T$52,3,FALSE)</f>
        <v>3.2219157519901001</v>
      </c>
      <c r="G32" s="16">
        <f>VLOOKUP(B32,[1]Landcover!$A$1:$T$52,20,FALSE)</f>
        <v>1.4255963563919101</v>
      </c>
      <c r="H32" s="16">
        <v>1.5046470274683088</v>
      </c>
      <c r="I32" s="16">
        <v>87.294991686940264</v>
      </c>
      <c r="J32" s="14" t="s">
        <v>292</v>
      </c>
      <c r="K32" s="17">
        <v>47.334569999999999</v>
      </c>
      <c r="L32" s="17">
        <v>-122.508606</v>
      </c>
      <c r="M32" s="19" t="s">
        <v>34</v>
      </c>
      <c r="N32" s="34" t="s">
        <v>118</v>
      </c>
      <c r="O32" s="26">
        <v>47.334583000000002</v>
      </c>
      <c r="P32" s="26">
        <v>-122.508608</v>
      </c>
      <c r="Q32" s="21" t="s">
        <v>293</v>
      </c>
      <c r="R32" s="14"/>
      <c r="S32" s="38" t="s">
        <v>294</v>
      </c>
      <c r="T32" s="22" t="s">
        <v>162</v>
      </c>
      <c r="U32" s="14" t="s">
        <v>170</v>
      </c>
      <c r="V32" s="14" t="s">
        <v>295</v>
      </c>
      <c r="W32" s="14" t="s">
        <v>296</v>
      </c>
      <c r="X32" s="23">
        <v>47.334499999999998</v>
      </c>
      <c r="Y32" s="23">
        <v>-122.5089</v>
      </c>
      <c r="Z32" s="24"/>
      <c r="AA32" s="24"/>
      <c r="AB32" s="33" t="s">
        <v>297</v>
      </c>
      <c r="AD32" t="s">
        <v>298</v>
      </c>
    </row>
    <row r="33" spans="1:30" x14ac:dyDescent="0.25">
      <c r="A33" s="19" t="s">
        <v>16</v>
      </c>
      <c r="B33" s="14" t="s">
        <v>299</v>
      </c>
      <c r="C33" s="14" t="s">
        <v>300</v>
      </c>
      <c r="D33" s="14" t="s">
        <v>301</v>
      </c>
      <c r="E33" s="15">
        <v>8</v>
      </c>
      <c r="F33" s="16">
        <f>VLOOKUP(B33,[1]Landcover!$A$1:$T$52,3,FALSE)</f>
        <v>7.2169689114037299</v>
      </c>
      <c r="G33" s="16">
        <f>VLOOKUP(B33,[1]Landcover!$A$1:$T$52,20,FALSE)</f>
        <v>50.016532897949197</v>
      </c>
      <c r="H33" s="16">
        <v>87.002524733543424</v>
      </c>
      <c r="I33" s="16">
        <v>3.8859465974383043</v>
      </c>
      <c r="J33" s="14" t="s">
        <v>302</v>
      </c>
      <c r="K33" s="17">
        <v>47.711860659999999</v>
      </c>
      <c r="L33" s="17">
        <v>-122.3794166</v>
      </c>
      <c r="M33" s="19" t="s">
        <v>16</v>
      </c>
      <c r="N33" s="34" t="s">
        <v>118</v>
      </c>
      <c r="O33" s="26">
        <v>47.711787000000001</v>
      </c>
      <c r="P33" s="26">
        <v>-122.37938</v>
      </c>
      <c r="Q33" s="21" t="s">
        <v>303</v>
      </c>
      <c r="R33" s="14"/>
      <c r="S33" s="14" t="s">
        <v>102</v>
      </c>
      <c r="T33" s="32"/>
      <c r="U33" s="14" t="s">
        <v>103</v>
      </c>
      <c r="V33" s="14" t="s">
        <v>83</v>
      </c>
      <c r="W33" s="14" t="s">
        <v>304</v>
      </c>
      <c r="X33" s="23">
        <v>47.710619999999999</v>
      </c>
      <c r="Y33" s="23">
        <v>-122.37103</v>
      </c>
      <c r="Z33" s="24"/>
      <c r="AA33" s="24"/>
      <c r="AB33" s="33" t="s">
        <v>305</v>
      </c>
      <c r="AC33" s="25">
        <v>6.9</v>
      </c>
      <c r="AD33" t="s">
        <v>122</v>
      </c>
    </row>
    <row r="34" spans="1:30" x14ac:dyDescent="0.25">
      <c r="A34" s="18" t="s">
        <v>23</v>
      </c>
      <c r="B34" s="14" t="s">
        <v>306</v>
      </c>
      <c r="C34" s="39" t="s">
        <v>307</v>
      </c>
      <c r="D34" s="39" t="s">
        <v>308</v>
      </c>
      <c r="E34" s="15">
        <v>8</v>
      </c>
      <c r="F34" s="16">
        <f>VLOOKUP(B34,[1]Landcover!$A$1:$T$52,3,FALSE)</f>
        <v>14.617636430961999</v>
      </c>
      <c r="G34" s="16">
        <f>VLOOKUP(B34,[1]Landcover!$A$1:$T$52,20,FALSE)</f>
        <v>19.957798004150401</v>
      </c>
      <c r="H34" s="16">
        <v>39.269282948225722</v>
      </c>
      <c r="I34" s="16">
        <v>41.152207180857658</v>
      </c>
      <c r="J34" s="14">
        <v>442</v>
      </c>
      <c r="K34" s="17">
        <v>47.566417870000002</v>
      </c>
      <c r="L34" s="17">
        <v>-122.1790823</v>
      </c>
      <c r="M34" s="18" t="s">
        <v>23</v>
      </c>
      <c r="N34" s="18" t="s">
        <v>118</v>
      </c>
      <c r="O34" s="20">
        <v>47.566049999999997</v>
      </c>
      <c r="P34" s="20">
        <v>-122.17873</v>
      </c>
      <c r="Q34" s="21" t="s">
        <v>23</v>
      </c>
      <c r="R34" s="14"/>
      <c r="S34" s="14" t="s">
        <v>102</v>
      </c>
      <c r="T34" s="32"/>
      <c r="U34" s="14" t="s">
        <v>103</v>
      </c>
      <c r="V34" s="14" t="s">
        <v>120</v>
      </c>
      <c r="W34" s="14" t="s">
        <v>309</v>
      </c>
      <c r="X34" s="23">
        <v>47.567740000000001</v>
      </c>
      <c r="Y34" s="23">
        <v>-122.18122200000001</v>
      </c>
      <c r="Z34" s="24"/>
      <c r="AA34" s="24"/>
      <c r="AB34" s="33"/>
      <c r="AC34" s="25">
        <v>10.1</v>
      </c>
      <c r="AD34" t="s">
        <v>310</v>
      </c>
    </row>
    <row r="35" spans="1:30" x14ac:dyDescent="0.25">
      <c r="A35" s="19" t="s">
        <v>24</v>
      </c>
      <c r="B35" s="14" t="s">
        <v>311</v>
      </c>
      <c r="C35" s="14" t="s">
        <v>312</v>
      </c>
      <c r="D35" s="14" t="s">
        <v>313</v>
      </c>
      <c r="E35" s="15">
        <v>9</v>
      </c>
      <c r="F35" s="16">
        <f>VLOOKUP(B35,[1]Landcover!$A$1:$T$52,3,FALSE)</f>
        <v>9.2180523326926096</v>
      </c>
      <c r="G35" s="16">
        <f>VLOOKUP(B35,[1]Landcover!$A$1:$T$52,20,FALSE)</f>
        <v>49.990440368652301</v>
      </c>
      <c r="H35" s="16">
        <v>82.549437135458035</v>
      </c>
      <c r="I35" s="16">
        <v>1.435227296315134</v>
      </c>
      <c r="J35" s="14" t="s">
        <v>314</v>
      </c>
      <c r="K35" s="17">
        <v>47.567598390000001</v>
      </c>
      <c r="L35" s="17">
        <v>-122.366516</v>
      </c>
      <c r="M35" s="19" t="s">
        <v>24</v>
      </c>
      <c r="N35" s="34" t="s">
        <v>118</v>
      </c>
      <c r="O35" s="26">
        <v>47.566307000000002</v>
      </c>
      <c r="P35" s="26">
        <v>-122.366733</v>
      </c>
      <c r="Q35" s="21" t="s">
        <v>315</v>
      </c>
      <c r="R35" s="14"/>
      <c r="S35" s="14" t="s">
        <v>102</v>
      </c>
      <c r="T35" s="32"/>
      <c r="U35" s="14" t="s">
        <v>103</v>
      </c>
      <c r="V35" s="14" t="s">
        <v>120</v>
      </c>
      <c r="W35" s="40" t="s">
        <v>316</v>
      </c>
      <c r="X35" s="23">
        <v>47.562579999999997</v>
      </c>
      <c r="Y35" s="23">
        <v>-122.36696000000001</v>
      </c>
      <c r="Z35" s="24"/>
      <c r="AA35" s="24"/>
      <c r="AB35" s="33"/>
      <c r="AC35" s="25">
        <v>1.7</v>
      </c>
      <c r="AD35" t="s">
        <v>122</v>
      </c>
    </row>
    <row r="36" spans="1:30" ht="45" x14ac:dyDescent="0.25">
      <c r="A36" s="18" t="s">
        <v>36</v>
      </c>
      <c r="B36" s="14" t="s">
        <v>317</v>
      </c>
      <c r="C36" s="14" t="s">
        <v>318</v>
      </c>
      <c r="D36" s="14" t="s">
        <v>319</v>
      </c>
      <c r="E36" s="15">
        <v>9</v>
      </c>
      <c r="F36" s="16">
        <f>VLOOKUP(B36,[1]Landcover!$A$1:$T$52,3,FALSE)</f>
        <v>2.3806298670764798</v>
      </c>
      <c r="G36" s="16">
        <f>VLOOKUP(B36,[1]Landcover!$A$1:$T$52,20,FALSE)</f>
        <v>2.8491477966308598</v>
      </c>
      <c r="H36" s="16">
        <v>3.4202075796201861</v>
      </c>
      <c r="I36" s="16">
        <v>62.183202710002632</v>
      </c>
      <c r="J36" s="14" t="s">
        <v>320</v>
      </c>
      <c r="K36" s="17">
        <v>47.402954000000001</v>
      </c>
      <c r="L36" s="17">
        <v>-122.51761999999999</v>
      </c>
      <c r="M36" s="18" t="s">
        <v>36</v>
      </c>
      <c r="N36" s="18" t="s">
        <v>101</v>
      </c>
      <c r="O36" s="20">
        <v>47.402769999999997</v>
      </c>
      <c r="P36" s="20">
        <v>-122.51693</v>
      </c>
      <c r="Q36" s="21" t="s">
        <v>36</v>
      </c>
      <c r="R36" s="14"/>
      <c r="S36" s="14" t="s">
        <v>102</v>
      </c>
      <c r="T36" s="31"/>
      <c r="U36" s="14" t="s">
        <v>103</v>
      </c>
      <c r="V36" s="14" t="s">
        <v>83</v>
      </c>
      <c r="W36" s="41" t="s">
        <v>321</v>
      </c>
      <c r="X36" s="42">
        <v>47.403199999999998</v>
      </c>
      <c r="Y36" s="42">
        <v>-122.5193</v>
      </c>
      <c r="Z36" s="24"/>
      <c r="AA36" s="24"/>
      <c r="AB36" s="33" t="s">
        <v>322</v>
      </c>
      <c r="AC36" s="25">
        <v>65.3</v>
      </c>
      <c r="AD36" t="s">
        <v>103</v>
      </c>
    </row>
    <row r="37" spans="1:30" x14ac:dyDescent="0.25">
      <c r="A37" s="19" t="s">
        <v>326</v>
      </c>
      <c r="B37" s="14" t="s">
        <v>323</v>
      </c>
      <c r="C37" s="14" t="s">
        <v>324</v>
      </c>
      <c r="D37" s="14" t="s">
        <v>325</v>
      </c>
      <c r="E37" s="15">
        <v>8</v>
      </c>
      <c r="F37" s="16">
        <f>VLOOKUP(B37,[1]Landcover!$A$1:$T$52,3,FALSE)</f>
        <v>2.3491521460434099</v>
      </c>
      <c r="G37" s="16">
        <f>VLOOKUP(B37,[1]Landcover!$A$1:$T$52,20,FALSE)</f>
        <v>36.221927642822301</v>
      </c>
      <c r="H37" s="16">
        <v>79.372102022170992</v>
      </c>
      <c r="I37" s="16">
        <v>0</v>
      </c>
      <c r="J37" s="14">
        <v>498</v>
      </c>
      <c r="K37" s="30">
        <v>47.636499999999998</v>
      </c>
      <c r="L37" s="30">
        <v>-122.230611</v>
      </c>
      <c r="M37" s="19" t="s">
        <v>326</v>
      </c>
      <c r="N37" s="34" t="s">
        <v>118</v>
      </c>
      <c r="O37" s="26">
        <v>47.636488999999997</v>
      </c>
      <c r="P37" s="26">
        <v>-122.230667</v>
      </c>
      <c r="Q37" s="21" t="s">
        <v>327</v>
      </c>
      <c r="R37" s="14"/>
      <c r="S37" s="14" t="s">
        <v>102</v>
      </c>
      <c r="T37" s="31"/>
      <c r="U37" s="14" t="s">
        <v>103</v>
      </c>
      <c r="V37" s="14" t="s">
        <v>120</v>
      </c>
      <c r="W37" s="14"/>
      <c r="X37" s="43"/>
      <c r="Y37" s="43"/>
      <c r="Z37" s="24"/>
      <c r="AA37" s="24"/>
      <c r="AB37" s="33"/>
      <c r="AC37" s="25">
        <v>12</v>
      </c>
      <c r="AD37" t="s">
        <v>103</v>
      </c>
    </row>
    <row r="38" spans="1:30" ht="30" x14ac:dyDescent="0.25">
      <c r="A38" s="34" t="s">
        <v>12</v>
      </c>
      <c r="B38" s="14" t="s">
        <v>328</v>
      </c>
      <c r="C38" s="14" t="s">
        <v>329</v>
      </c>
      <c r="D38" s="14" t="s">
        <v>329</v>
      </c>
      <c r="E38" s="15">
        <v>8</v>
      </c>
      <c r="F38" s="16">
        <f>VLOOKUP(B38,[1]Landcover!$A$1:$T$52,3,FALSE)</f>
        <v>0.58498809636842097</v>
      </c>
      <c r="G38" s="16">
        <f>VLOOKUP(B38,[1]Landcover!$A$1:$T$52,20,FALSE)</f>
        <v>32.838733673095703</v>
      </c>
      <c r="H38" s="16">
        <v>59.064580500125885</v>
      </c>
      <c r="I38" s="16">
        <v>21.610554493963669</v>
      </c>
      <c r="J38" s="14" t="s">
        <v>330</v>
      </c>
      <c r="K38" s="17">
        <v>47.645157879999999</v>
      </c>
      <c r="L38" s="17">
        <v>-122.2022631</v>
      </c>
      <c r="M38" s="34" t="s">
        <v>12</v>
      </c>
      <c r="N38" s="34" t="s">
        <v>118</v>
      </c>
      <c r="O38" s="20">
        <v>47.645496000000001</v>
      </c>
      <c r="P38" s="20">
        <v>-122.202811</v>
      </c>
      <c r="Q38" s="21" t="s">
        <v>331</v>
      </c>
      <c r="R38" s="14"/>
      <c r="S38" s="44" t="s">
        <v>332</v>
      </c>
      <c r="T38" s="32" t="s">
        <v>209</v>
      </c>
      <c r="U38" s="14" t="s">
        <v>170</v>
      </c>
      <c r="V38" s="14" t="s">
        <v>333</v>
      </c>
      <c r="W38" s="14"/>
      <c r="X38" s="43"/>
      <c r="Y38" s="43"/>
      <c r="Z38" s="24"/>
      <c r="AA38" s="24"/>
      <c r="AB38" s="33"/>
      <c r="AD38" t="s">
        <v>103</v>
      </c>
    </row>
    <row r="39" spans="1:30" ht="30" x14ac:dyDescent="0.25">
      <c r="A39" s="19" t="s">
        <v>336</v>
      </c>
      <c r="B39" s="14" t="s">
        <v>334</v>
      </c>
      <c r="C39" s="14" t="s">
        <v>109</v>
      </c>
      <c r="D39" s="14" t="s">
        <v>110</v>
      </c>
      <c r="E39" s="15">
        <v>8</v>
      </c>
      <c r="F39" s="16">
        <f>VLOOKUP(B39,[1]Landcover!$A$1:$T$52,3,FALSE)</f>
        <v>109.592728554326</v>
      </c>
      <c r="G39" s="16">
        <f>VLOOKUP(B39,[1]Landcover!$A$1:$T$52,20,FALSE)</f>
        <v>3.6021685600280802</v>
      </c>
      <c r="H39" s="16">
        <v>6.4828193251742032</v>
      </c>
      <c r="I39" s="16">
        <v>70.991159230470686</v>
      </c>
      <c r="J39" s="14" t="s">
        <v>335</v>
      </c>
      <c r="K39" s="17">
        <v>47.52711214</v>
      </c>
      <c r="L39" s="17">
        <v>-122.03844309999999</v>
      </c>
      <c r="M39" s="19" t="s">
        <v>336</v>
      </c>
      <c r="N39" s="34" t="s">
        <v>118</v>
      </c>
      <c r="O39" s="26">
        <v>47.527135000000001</v>
      </c>
      <c r="P39" s="26">
        <v>-122.038507</v>
      </c>
      <c r="Q39" s="21" t="s">
        <v>337</v>
      </c>
      <c r="R39" s="14"/>
      <c r="S39" s="45" t="s">
        <v>338</v>
      </c>
      <c r="T39" s="46" t="s">
        <v>339</v>
      </c>
      <c r="U39" s="14" t="s">
        <v>103</v>
      </c>
      <c r="V39" s="14" t="s">
        <v>120</v>
      </c>
      <c r="W39" s="14"/>
      <c r="X39" s="43"/>
      <c r="Y39" s="43"/>
      <c r="Z39" s="24"/>
      <c r="AA39" s="24"/>
      <c r="AB39" s="21" t="s">
        <v>340</v>
      </c>
      <c r="AC39" s="25">
        <v>75.900000000000006</v>
      </c>
      <c r="AD39" t="s">
        <v>103</v>
      </c>
    </row>
    <row r="40" spans="1:30" x14ac:dyDescent="0.25">
      <c r="A40" s="19" t="s">
        <v>15</v>
      </c>
      <c r="B40" s="14" t="s">
        <v>341</v>
      </c>
      <c r="C40" s="14" t="s">
        <v>342</v>
      </c>
      <c r="D40" s="14" t="s">
        <v>343</v>
      </c>
      <c r="E40" s="15">
        <v>8</v>
      </c>
      <c r="F40" s="16">
        <f>VLOOKUP(B40,[1]Landcover!$A$1:$T$52,3,FALSE)</f>
        <v>1.59326681790453</v>
      </c>
      <c r="G40" s="16">
        <f>VLOOKUP(B40,[1]Landcover!$A$1:$T$52,20,FALSE)</f>
        <v>47.5797309875488</v>
      </c>
      <c r="H40" s="16">
        <v>88.709937408566475</v>
      </c>
      <c r="I40" s="16">
        <v>0.89951362460851603</v>
      </c>
      <c r="J40" s="14" t="s">
        <v>344</v>
      </c>
      <c r="K40" s="17">
        <v>47.711056360000001</v>
      </c>
      <c r="L40" s="17">
        <v>-122.3717791</v>
      </c>
      <c r="M40" s="19" t="s">
        <v>15</v>
      </c>
      <c r="N40" s="34" t="s">
        <v>118</v>
      </c>
      <c r="O40" s="26">
        <v>47.711097000000002</v>
      </c>
      <c r="P40" s="26">
        <v>-122.37180499999999</v>
      </c>
      <c r="Q40" s="21" t="s">
        <v>345</v>
      </c>
      <c r="R40" s="14"/>
      <c r="S40" s="14" t="s">
        <v>102</v>
      </c>
      <c r="T40" s="32"/>
      <c r="U40" s="19" t="s">
        <v>103</v>
      </c>
      <c r="V40" s="14" t="s">
        <v>120</v>
      </c>
      <c r="W40" s="14"/>
      <c r="X40" s="43"/>
      <c r="Y40" s="43"/>
      <c r="Z40" s="24"/>
      <c r="AA40" s="24"/>
      <c r="AB40" s="33"/>
      <c r="AC40" s="25">
        <v>13.7</v>
      </c>
      <c r="AD40" t="s">
        <v>103</v>
      </c>
    </row>
    <row r="41" spans="1:30" x14ac:dyDescent="0.25">
      <c r="A41" s="19" t="s">
        <v>17</v>
      </c>
      <c r="B41" s="14" t="s">
        <v>346</v>
      </c>
      <c r="C41" s="14" t="s">
        <v>347</v>
      </c>
      <c r="D41" s="14" t="s">
        <v>348</v>
      </c>
      <c r="E41" s="15">
        <v>7</v>
      </c>
      <c r="F41" s="16">
        <f>VLOOKUP(B41,[1]Landcover!$A$1:$T$52,3,FALSE)</f>
        <v>39.518710073950103</v>
      </c>
      <c r="G41" s="16">
        <f>VLOOKUP(B41,[1]Landcover!$A$1:$T$52,20,FALSE)</f>
        <v>8.3620071411132795</v>
      </c>
      <c r="H41" s="16">
        <v>16.072363613056964</v>
      </c>
      <c r="I41" s="16">
        <v>53.623634576797599</v>
      </c>
      <c r="J41" s="14" t="s">
        <v>349</v>
      </c>
      <c r="K41" s="30">
        <v>47.580798999999999</v>
      </c>
      <c r="L41" s="30">
        <v>-121.93205</v>
      </c>
      <c r="M41" s="19" t="s">
        <v>17</v>
      </c>
      <c r="N41" s="19" t="s">
        <v>78</v>
      </c>
      <c r="O41" s="26">
        <v>47.579661000000002</v>
      </c>
      <c r="P41" s="26">
        <v>-121.933707</v>
      </c>
      <c r="Q41" s="21" t="s">
        <v>350</v>
      </c>
      <c r="R41" s="14" t="s">
        <v>351</v>
      </c>
      <c r="S41" s="14" t="s">
        <v>102</v>
      </c>
      <c r="T41" s="32"/>
      <c r="U41" s="14" t="s">
        <v>103</v>
      </c>
      <c r="V41" s="14" t="s">
        <v>120</v>
      </c>
      <c r="W41" s="14"/>
      <c r="X41" s="43"/>
      <c r="Y41" s="43"/>
      <c r="Z41" s="24"/>
      <c r="AA41" s="24"/>
      <c r="AB41" s="33"/>
      <c r="AC41" s="25">
        <v>45.8</v>
      </c>
      <c r="AD41" t="s">
        <v>103</v>
      </c>
    </row>
    <row r="42" spans="1:30" ht="30" x14ac:dyDescent="0.25">
      <c r="A42" s="35" t="s">
        <v>14</v>
      </c>
      <c r="B42" s="14" t="s">
        <v>352</v>
      </c>
      <c r="C42" s="14" t="s">
        <v>353</v>
      </c>
      <c r="D42" s="14" t="s">
        <v>354</v>
      </c>
      <c r="E42" s="15">
        <v>7</v>
      </c>
      <c r="F42" s="16">
        <f>VLOOKUP(B42,[1]Landcover!$A$1:$T$52,3,FALSE)</f>
        <v>7.1488751209223</v>
      </c>
      <c r="G42" s="16">
        <f>VLOOKUP(B42,[1]Landcover!$A$1:$T$52,20,FALSE)</f>
        <v>14.888334274291999</v>
      </c>
      <c r="H42" s="16">
        <v>23.973694257438222</v>
      </c>
      <c r="I42" s="16">
        <v>64.025605469942107</v>
      </c>
      <c r="J42" s="14" t="s">
        <v>355</v>
      </c>
      <c r="K42" s="30">
        <v>47.526111999999998</v>
      </c>
      <c r="L42" s="30">
        <v>-121.83710600000001</v>
      </c>
      <c r="M42" s="35" t="s">
        <v>14</v>
      </c>
      <c r="N42" s="35" t="s">
        <v>78</v>
      </c>
      <c r="O42" s="26">
        <v>47.526333000000001</v>
      </c>
      <c r="P42" s="26">
        <v>-121.837429</v>
      </c>
      <c r="Q42" s="21" t="s">
        <v>356</v>
      </c>
      <c r="R42" s="27" t="s">
        <v>357</v>
      </c>
      <c r="S42" s="22" t="s">
        <v>93</v>
      </c>
      <c r="T42" s="32"/>
      <c r="U42" s="14" t="s">
        <v>170</v>
      </c>
      <c r="V42" s="14" t="s">
        <v>203</v>
      </c>
      <c r="W42" s="14"/>
      <c r="X42" s="43"/>
      <c r="Y42" s="43"/>
      <c r="Z42" s="24"/>
      <c r="AA42" s="24"/>
      <c r="AB42" s="33"/>
      <c r="AC42" s="25">
        <v>87.9</v>
      </c>
      <c r="AD42" t="s">
        <v>103</v>
      </c>
    </row>
    <row r="43" spans="1:30" ht="30" x14ac:dyDescent="0.25">
      <c r="A43" s="18" t="s">
        <v>362</v>
      </c>
      <c r="B43" s="14" t="s">
        <v>358</v>
      </c>
      <c r="C43" s="14" t="s">
        <v>359</v>
      </c>
      <c r="D43" s="14" t="s">
        <v>360</v>
      </c>
      <c r="E43" s="15">
        <v>8</v>
      </c>
      <c r="F43" s="16">
        <f>VLOOKUP(B43,[1]Landcover!$A$1:$T$52,3,FALSE)</f>
        <v>26.601287590210301</v>
      </c>
      <c r="G43" s="16">
        <f>VLOOKUP(B43,[1]Landcover!$A$1:$T$52,20,FALSE)</f>
        <v>16.685585021972699</v>
      </c>
      <c r="H43" s="16">
        <v>33.687203936278799</v>
      </c>
      <c r="I43" s="16">
        <v>21.98992557823658</v>
      </c>
      <c r="J43" s="14" t="s">
        <v>361</v>
      </c>
      <c r="K43" s="17">
        <v>47.736443880000003</v>
      </c>
      <c r="L43" s="17">
        <v>-122.0793623</v>
      </c>
      <c r="M43" s="18" t="s">
        <v>362</v>
      </c>
      <c r="N43" s="35" t="s">
        <v>78</v>
      </c>
      <c r="O43" s="20">
        <v>47.733407</v>
      </c>
      <c r="P43" s="20">
        <v>-122.07854500000001</v>
      </c>
      <c r="Q43" s="21" t="s">
        <v>363</v>
      </c>
      <c r="R43" s="27" t="s">
        <v>364</v>
      </c>
      <c r="S43" s="14" t="s">
        <v>102</v>
      </c>
      <c r="T43" s="31"/>
      <c r="U43" s="14" t="s">
        <v>82</v>
      </c>
      <c r="V43" s="14" t="s">
        <v>120</v>
      </c>
      <c r="W43" s="14"/>
      <c r="X43" s="47"/>
      <c r="Y43" s="47"/>
      <c r="Z43" s="43">
        <v>47.742930000000001</v>
      </c>
      <c r="AA43" s="43">
        <v>-122.08399</v>
      </c>
      <c r="AB43" s="33" t="s">
        <v>365</v>
      </c>
      <c r="AD43" t="s">
        <v>103</v>
      </c>
    </row>
    <row r="44" spans="1:30" x14ac:dyDescent="0.25">
      <c r="A44" s="19" t="s">
        <v>40</v>
      </c>
      <c r="B44" s="14" t="s">
        <v>366</v>
      </c>
      <c r="C44" s="14" t="s">
        <v>367</v>
      </c>
      <c r="D44" s="14" t="s">
        <v>368</v>
      </c>
      <c r="E44" s="15">
        <v>8</v>
      </c>
      <c r="F44" s="16">
        <f>VLOOKUP(B44,[1]Landcover!$A$1:$T$52,3,FALSE)</f>
        <v>3.8686165361351001</v>
      </c>
      <c r="G44" s="16">
        <f>VLOOKUP(B44,[1]Landcover!$A$1:$T$52,20,FALSE)</f>
        <v>47.698879241943402</v>
      </c>
      <c r="H44" s="16">
        <v>82.149798423051863</v>
      </c>
      <c r="I44" s="16">
        <v>5.8971843216568276</v>
      </c>
      <c r="J44" s="14" t="s">
        <v>369</v>
      </c>
      <c r="K44" s="30">
        <v>47.475276999999998</v>
      </c>
      <c r="L44" s="30">
        <v>-122.16308600000001</v>
      </c>
      <c r="M44" s="19" t="s">
        <v>40</v>
      </c>
      <c r="N44" s="35" t="s">
        <v>78</v>
      </c>
      <c r="O44" s="20">
        <v>47.475298000000002</v>
      </c>
      <c r="P44" s="20">
        <v>-122.16319300000001</v>
      </c>
      <c r="Q44" s="21" t="s">
        <v>370</v>
      </c>
      <c r="R44" s="14" t="s">
        <v>370</v>
      </c>
      <c r="S44" s="14" t="s">
        <v>102</v>
      </c>
      <c r="T44" s="32"/>
      <c r="U44" s="14" t="s">
        <v>103</v>
      </c>
      <c r="V44" s="14" t="s">
        <v>83</v>
      </c>
      <c r="W44" s="14"/>
      <c r="X44" s="47"/>
      <c r="Y44" s="47"/>
      <c r="Z44" s="43"/>
      <c r="AA44" s="43"/>
      <c r="AB44" s="33"/>
      <c r="AC44" s="25">
        <v>37.5</v>
      </c>
      <c r="AD44" t="s">
        <v>103</v>
      </c>
    </row>
    <row r="45" spans="1:30" x14ac:dyDescent="0.25">
      <c r="A45" s="19" t="s">
        <v>41</v>
      </c>
      <c r="B45" s="14" t="s">
        <v>371</v>
      </c>
      <c r="C45" s="14" t="s">
        <v>372</v>
      </c>
      <c r="D45" s="14" t="s">
        <v>373</v>
      </c>
      <c r="E45" s="15">
        <v>8</v>
      </c>
      <c r="F45" s="16">
        <f>VLOOKUP(B45,[1]Landcover!$A$1:$T$52,3,FALSE)</f>
        <v>4.6245957437989302</v>
      </c>
      <c r="G45" s="16">
        <f>VLOOKUP(B45,[1]Landcover!$A$1:$T$52,20,FALSE)</f>
        <v>31.440233230590799</v>
      </c>
      <c r="H45" s="16">
        <v>57.731239497661548</v>
      </c>
      <c r="I45" s="16">
        <v>13.16807139664888</v>
      </c>
      <c r="J45" s="14">
        <v>463</v>
      </c>
      <c r="K45" s="30">
        <v>47.466197999999999</v>
      </c>
      <c r="L45" s="30">
        <v>-122.159083</v>
      </c>
      <c r="M45" s="19" t="s">
        <v>41</v>
      </c>
      <c r="N45" s="19" t="s">
        <v>101</v>
      </c>
      <c r="O45" s="26">
        <v>47.466759000000003</v>
      </c>
      <c r="P45" s="26">
        <v>-122.159109</v>
      </c>
      <c r="Q45" s="21" t="s">
        <v>41</v>
      </c>
      <c r="R45" s="14"/>
      <c r="S45" s="14" t="s">
        <v>102</v>
      </c>
      <c r="T45" s="31"/>
      <c r="U45" s="14" t="s">
        <v>103</v>
      </c>
      <c r="V45" s="14" t="s">
        <v>83</v>
      </c>
      <c r="W45" s="14"/>
      <c r="X45" s="47"/>
      <c r="Y45" s="47"/>
      <c r="Z45" s="43">
        <v>47.466650000000001</v>
      </c>
      <c r="AA45" s="43">
        <v>-122.16025999999999</v>
      </c>
      <c r="AB45" s="33" t="s">
        <v>374</v>
      </c>
      <c r="AC45" s="25">
        <v>35.1</v>
      </c>
      <c r="AD45" t="s">
        <v>103</v>
      </c>
    </row>
    <row r="46" spans="1:30" x14ac:dyDescent="0.25">
      <c r="A46" s="19" t="s">
        <v>379</v>
      </c>
      <c r="B46" s="14" t="s">
        <v>375</v>
      </c>
      <c r="C46" s="14" t="s">
        <v>376</v>
      </c>
      <c r="D46" s="14" t="s">
        <v>377</v>
      </c>
      <c r="E46" s="15">
        <v>8</v>
      </c>
      <c r="F46" s="16">
        <f>VLOOKUP(B46,[1]Landcover!$A$1:$T$52,3,FALSE)</f>
        <v>5.2050236482828298</v>
      </c>
      <c r="G46" s="16">
        <f>VLOOKUP(B46,[1]Landcover!$A$1:$T$52,20,FALSE)</f>
        <v>39.1348686218262</v>
      </c>
      <c r="H46" s="16">
        <v>77.312496677041125</v>
      </c>
      <c r="I46" s="16">
        <v>2.2909504128620073</v>
      </c>
      <c r="J46" s="14" t="s">
        <v>378</v>
      </c>
      <c r="K46" s="30">
        <v>47.578352000000002</v>
      </c>
      <c r="L46" s="30">
        <v>-122.11362099999999</v>
      </c>
      <c r="M46" s="19" t="s">
        <v>379</v>
      </c>
      <c r="N46" s="19" t="s">
        <v>101</v>
      </c>
      <c r="O46" s="20">
        <v>47.578488</v>
      </c>
      <c r="P46" s="20">
        <v>-122.113038</v>
      </c>
      <c r="Q46" s="21" t="s">
        <v>379</v>
      </c>
      <c r="R46" s="14"/>
      <c r="S46" s="14" t="s">
        <v>102</v>
      </c>
      <c r="T46" s="31"/>
      <c r="U46" s="19" t="s">
        <v>103</v>
      </c>
      <c r="V46" s="14" t="s">
        <v>83</v>
      </c>
      <c r="W46" s="14"/>
      <c r="X46" s="47"/>
      <c r="Y46" s="47"/>
      <c r="Z46" s="43"/>
      <c r="AA46" s="43"/>
      <c r="AB46" s="33"/>
      <c r="AC46" s="25">
        <v>15.1</v>
      </c>
      <c r="AD46" t="s">
        <v>103</v>
      </c>
    </row>
    <row r="47" spans="1:30" x14ac:dyDescent="0.25">
      <c r="A47" s="19" t="s">
        <v>384</v>
      </c>
      <c r="B47" s="14" t="s">
        <v>380</v>
      </c>
      <c r="C47" s="14" t="s">
        <v>381</v>
      </c>
      <c r="D47" s="14" t="s">
        <v>382</v>
      </c>
      <c r="E47" s="15">
        <v>8</v>
      </c>
      <c r="F47" s="16">
        <f>VLOOKUP(B47,[1]Landcover!$A$1:$T$52,3,FALSE)</f>
        <v>5.0227611754675197</v>
      </c>
      <c r="G47" s="16">
        <f>VLOOKUP(B47,[1]Landcover!$A$1:$T$52,20,FALSE)</f>
        <v>18.458576202392599</v>
      </c>
      <c r="H47" s="16">
        <v>35.648648999631391</v>
      </c>
      <c r="I47" s="16">
        <v>18.239157367497729</v>
      </c>
      <c r="J47" s="14" t="s">
        <v>383</v>
      </c>
      <c r="K47" s="17">
        <v>47.601054740000002</v>
      </c>
      <c r="L47" s="17">
        <v>-122.08008150000001</v>
      </c>
      <c r="M47" s="19" t="s">
        <v>384</v>
      </c>
      <c r="N47" s="19" t="s">
        <v>101</v>
      </c>
      <c r="O47" s="26">
        <v>47.600938999999997</v>
      </c>
      <c r="P47" s="26">
        <v>-122.08033500000001</v>
      </c>
      <c r="Q47" s="21" t="s">
        <v>384</v>
      </c>
      <c r="R47" s="14"/>
      <c r="S47" s="14" t="s">
        <v>102</v>
      </c>
      <c r="T47" s="31"/>
      <c r="U47" s="14" t="s">
        <v>103</v>
      </c>
      <c r="V47" s="14" t="s">
        <v>83</v>
      </c>
      <c r="W47" s="14"/>
      <c r="X47" s="47"/>
      <c r="Y47" s="47"/>
      <c r="Z47" s="43"/>
      <c r="AA47" s="43"/>
      <c r="AB47" s="33"/>
      <c r="AC47" s="25">
        <v>42.1</v>
      </c>
      <c r="AD47" t="s">
        <v>103</v>
      </c>
    </row>
    <row r="48" spans="1:30" x14ac:dyDescent="0.25">
      <c r="A48" s="19" t="s">
        <v>28</v>
      </c>
      <c r="B48" s="14" t="s">
        <v>385</v>
      </c>
      <c r="C48" s="14" t="s">
        <v>386</v>
      </c>
      <c r="D48" s="14" t="s">
        <v>387</v>
      </c>
      <c r="E48" s="15">
        <v>8</v>
      </c>
      <c r="F48" s="16">
        <f>VLOOKUP(B48,[1]Landcover!$A$1:$T$52,3,FALSE)</f>
        <v>9.5075485897143306</v>
      </c>
      <c r="G48" s="16">
        <f>VLOOKUP(B48,[1]Landcover!$A$1:$T$52,20,FALSE)</f>
        <v>29.315574645996101</v>
      </c>
      <c r="H48" s="16">
        <v>53.567040711641269</v>
      </c>
      <c r="I48" s="16">
        <v>11.0152586363256</v>
      </c>
      <c r="J48" s="14" t="s">
        <v>388</v>
      </c>
      <c r="K48" s="17">
        <v>47.615472439999998</v>
      </c>
      <c r="L48" s="17">
        <v>-122.0681647</v>
      </c>
      <c r="M48" s="19" t="s">
        <v>28</v>
      </c>
      <c r="N48" s="19" t="s">
        <v>101</v>
      </c>
      <c r="O48" s="26">
        <v>47.615284000000003</v>
      </c>
      <c r="P48" s="26">
        <v>-122.066971</v>
      </c>
      <c r="Q48" s="21" t="s">
        <v>28</v>
      </c>
      <c r="R48" s="14"/>
      <c r="S48" s="14" t="s">
        <v>102</v>
      </c>
      <c r="T48" s="32"/>
      <c r="U48" s="14" t="s">
        <v>103</v>
      </c>
      <c r="V48" s="14" t="s">
        <v>83</v>
      </c>
      <c r="W48" s="14"/>
      <c r="X48" s="47"/>
      <c r="Y48" s="47"/>
      <c r="Z48" s="43"/>
      <c r="AA48" s="43"/>
      <c r="AB48" s="33"/>
      <c r="AC48" s="25">
        <v>59.3</v>
      </c>
      <c r="AD48" t="s">
        <v>103</v>
      </c>
    </row>
    <row r="49" spans="1:30" ht="90" x14ac:dyDescent="0.25">
      <c r="A49" s="19" t="s">
        <v>392</v>
      </c>
      <c r="B49" s="14" t="s">
        <v>389</v>
      </c>
      <c r="C49" s="14" t="s">
        <v>219</v>
      </c>
      <c r="D49" s="14" t="s">
        <v>390</v>
      </c>
      <c r="E49" s="15">
        <v>8</v>
      </c>
      <c r="F49" s="16">
        <f>VLOOKUP(B49,[1]Landcover!$A$1:$T$52,3,FALSE)</f>
        <v>14.558849195983401</v>
      </c>
      <c r="G49" s="16">
        <f>VLOOKUP(B49,[1]Landcover!$A$1:$T$52,20,FALSE)</f>
        <v>19.237211227416999</v>
      </c>
      <c r="H49" s="16">
        <v>36.056920839473548</v>
      </c>
      <c r="I49" s="16">
        <v>20.884476695209692</v>
      </c>
      <c r="J49" s="14" t="s">
        <v>391</v>
      </c>
      <c r="K49" s="17">
        <v>47.811444020000003</v>
      </c>
      <c r="L49" s="17">
        <v>-122.1589984</v>
      </c>
      <c r="M49" s="19" t="s">
        <v>392</v>
      </c>
      <c r="N49" s="19" t="s">
        <v>101</v>
      </c>
      <c r="O49" s="26">
        <v>47.811464000000001</v>
      </c>
      <c r="P49" s="26">
        <v>-122.158997</v>
      </c>
      <c r="Q49" s="48" t="s">
        <v>392</v>
      </c>
      <c r="R49" s="14"/>
      <c r="S49" s="14" t="s">
        <v>102</v>
      </c>
      <c r="T49" s="32"/>
      <c r="U49" s="14" t="s">
        <v>103</v>
      </c>
      <c r="V49" s="14" t="s">
        <v>83</v>
      </c>
      <c r="W49" s="14"/>
      <c r="X49" s="47"/>
      <c r="Y49" s="47"/>
      <c r="Z49" s="43"/>
      <c r="AA49" s="43"/>
      <c r="AB49" s="49" t="s">
        <v>393</v>
      </c>
      <c r="AC49" s="25">
        <v>59.7</v>
      </c>
      <c r="AD49" t="s">
        <v>103</v>
      </c>
    </row>
    <row r="50" spans="1:30" x14ac:dyDescent="0.25">
      <c r="A50" s="19" t="s">
        <v>29</v>
      </c>
      <c r="B50" s="14" t="s">
        <v>394</v>
      </c>
      <c r="C50" s="14" t="s">
        <v>395</v>
      </c>
      <c r="D50" s="14" t="s">
        <v>396</v>
      </c>
      <c r="E50" s="15">
        <v>8</v>
      </c>
      <c r="F50" s="16">
        <f>VLOOKUP(B50,[1]Landcover!$A$1:$T$52,3,FALSE)</f>
        <v>55.634334471278898</v>
      </c>
      <c r="G50" s="16">
        <f>VLOOKUP(B50,[1]Landcover!$A$1:$T$52,20,FALSE)</f>
        <v>47.128700256347699</v>
      </c>
      <c r="H50" s="16">
        <v>79.098401963710799</v>
      </c>
      <c r="I50" s="16">
        <v>1.2710289796814329</v>
      </c>
      <c r="J50" s="14" t="s">
        <v>397</v>
      </c>
      <c r="K50" s="17">
        <v>47.779750640000003</v>
      </c>
      <c r="L50" s="17">
        <v>-122.250974</v>
      </c>
      <c r="M50" s="19" t="s">
        <v>29</v>
      </c>
      <c r="N50" s="19" t="s">
        <v>101</v>
      </c>
      <c r="O50" s="26">
        <v>47.779822000000003</v>
      </c>
      <c r="P50" s="26">
        <v>-122.25043100000001</v>
      </c>
      <c r="Q50" s="21" t="s">
        <v>29</v>
      </c>
      <c r="R50" s="14"/>
      <c r="S50" s="14" t="s">
        <v>102</v>
      </c>
      <c r="T50" s="31"/>
      <c r="U50" s="14" t="s">
        <v>103</v>
      </c>
      <c r="V50" s="14" t="s">
        <v>83</v>
      </c>
      <c r="W50" s="14"/>
      <c r="X50" s="47"/>
      <c r="Y50" s="47"/>
      <c r="Z50" s="43"/>
      <c r="AA50" s="43"/>
      <c r="AB50" s="33"/>
      <c r="AC50" s="25">
        <v>44.7</v>
      </c>
      <c r="AD50" t="s">
        <v>103</v>
      </c>
    </row>
    <row r="51" spans="1:30" x14ac:dyDescent="0.25">
      <c r="A51" s="19" t="s">
        <v>13</v>
      </c>
      <c r="B51" s="14" t="s">
        <v>398</v>
      </c>
      <c r="C51" s="19" t="s">
        <v>399</v>
      </c>
      <c r="D51" s="19" t="s">
        <v>400</v>
      </c>
      <c r="E51" s="15">
        <v>8</v>
      </c>
      <c r="F51" s="16">
        <f>VLOOKUP(B51,[1]Landcover!$A$1:$T$52,3,FALSE)</f>
        <v>2.6675475515852001</v>
      </c>
      <c r="G51" s="16">
        <f>VLOOKUP(B51,[1]Landcover!$A$1:$T$52,20,FALSE)</f>
        <v>43.120925903320298</v>
      </c>
      <c r="H51" s="16">
        <v>78.318314626813006</v>
      </c>
      <c r="I51" s="16">
        <v>2.3521905764937401</v>
      </c>
      <c r="J51" s="14" t="s">
        <v>401</v>
      </c>
      <c r="K51" s="30">
        <v>47.508614000000001</v>
      </c>
      <c r="L51" s="30">
        <v>-122.24797599999999</v>
      </c>
      <c r="M51" s="19" t="s">
        <v>13</v>
      </c>
      <c r="N51" s="19" t="s">
        <v>101</v>
      </c>
      <c r="O51" s="26">
        <v>47.507868999999999</v>
      </c>
      <c r="P51" s="26">
        <v>-122.24758199999999</v>
      </c>
      <c r="Q51" s="48" t="s">
        <v>13</v>
      </c>
      <c r="R51" s="14"/>
      <c r="S51" s="14" t="s">
        <v>102</v>
      </c>
      <c r="T51" s="31"/>
      <c r="U51" s="19" t="s">
        <v>103</v>
      </c>
      <c r="V51" s="14" t="s">
        <v>83</v>
      </c>
      <c r="W51" s="14"/>
      <c r="X51" s="47"/>
      <c r="Y51" s="47"/>
      <c r="Z51" s="43"/>
      <c r="AA51" s="43"/>
      <c r="AB51" s="50" t="s">
        <v>402</v>
      </c>
      <c r="AC51" s="25">
        <v>31.7</v>
      </c>
      <c r="AD51" t="s">
        <v>103</v>
      </c>
    </row>
    <row r="52" spans="1:30" ht="45" x14ac:dyDescent="0.25">
      <c r="A52" s="19" t="s">
        <v>38</v>
      </c>
      <c r="B52" s="14" t="s">
        <v>403</v>
      </c>
      <c r="C52" s="14" t="s">
        <v>404</v>
      </c>
      <c r="D52" s="14" t="s">
        <v>405</v>
      </c>
      <c r="E52" s="15">
        <v>9</v>
      </c>
      <c r="F52" s="16">
        <f>VLOOKUP(B52,[1]Landcover!$A$1:$T$52,3,FALSE)</f>
        <v>4.5450014075576304</v>
      </c>
      <c r="G52" s="16">
        <f>VLOOKUP(B52,[1]Landcover!$A$1:$T$52,20,FALSE)</f>
        <v>26.596687316894499</v>
      </c>
      <c r="H52" s="16">
        <v>47.78301371261486</v>
      </c>
      <c r="I52" s="16">
        <v>10.829472122713916</v>
      </c>
      <c r="J52" s="19" t="s">
        <v>406</v>
      </c>
      <c r="K52" s="30">
        <v>47.343468000000001</v>
      </c>
      <c r="L52" s="30">
        <v>-122.20497</v>
      </c>
      <c r="M52" s="19" t="s">
        <v>38</v>
      </c>
      <c r="N52" s="19" t="s">
        <v>101</v>
      </c>
      <c r="O52" s="26">
        <v>47.343516999999999</v>
      </c>
      <c r="P52" s="26">
        <v>-122.204491</v>
      </c>
      <c r="Q52" s="48" t="s">
        <v>407</v>
      </c>
      <c r="R52" s="14"/>
      <c r="S52" s="14" t="s">
        <v>102</v>
      </c>
      <c r="T52" s="31"/>
      <c r="U52" s="14" t="s">
        <v>103</v>
      </c>
      <c r="V52" s="14" t="s">
        <v>83</v>
      </c>
      <c r="W52" s="14"/>
      <c r="X52" s="47"/>
      <c r="Y52" s="47"/>
      <c r="Z52" s="43">
        <v>47.343487000000003</v>
      </c>
      <c r="AA52" s="43">
        <v>-122.20504</v>
      </c>
      <c r="AB52" s="33"/>
      <c r="AC52" s="25">
        <v>81.900000000000006</v>
      </c>
      <c r="AD52" t="s">
        <v>103</v>
      </c>
    </row>
  </sheetData>
  <conditionalFormatting sqref="A2:A50">
    <cfRule type="notContainsBlanks" dxfId="4" priority="1">
      <formula>LEN(TRIM(A2))&gt;0</formula>
    </cfRule>
  </conditionalFormatting>
  <conditionalFormatting sqref="C2 W2:Y14 D2:D26 AB2:AB51 R3:R13 S3:V14 J3:L51 Q15:Y31 M22:P35 C28:E51 S32:Y33 T34:Y42 M36:N36 M37:P50 T43:W43 Z43:AA51 U44:W44 T45:W51">
    <cfRule type="notContainsBlanks" dxfId="3" priority="6">
      <formula>LEN(TRIM(C2))&gt;0</formula>
    </cfRule>
  </conditionalFormatting>
  <conditionalFormatting sqref="E2:V2 F3:I52">
    <cfRule type="notContainsBlanks" dxfId="2" priority="4">
      <formula>LEN(TRIM(E2))&gt;0</formula>
    </cfRule>
  </conditionalFormatting>
  <conditionalFormatting sqref="M3:N21 C3:E26 Q12:Q14 O12:P21 E27 Q32:Q51 R32:R52 S34:S52 T52:V52">
    <cfRule type="notContainsBlanks" dxfId="1" priority="7">
      <formula>LEN(TRIM(C3))&gt;0</formula>
    </cfRule>
  </conditionalFormatting>
  <conditionalFormatting sqref="O3:Q11">
    <cfRule type="notContainsBlanks" dxfId="0" priority="5">
      <formula>LEN(TRIM(O3))&gt;0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8FE9-5B62-4599-876C-B9D8D0CD1C7D}">
  <dimension ref="A1:V52"/>
  <sheetViews>
    <sheetView topLeftCell="C1" workbookViewId="0">
      <selection activeCell="V1" sqref="V1:V1048576"/>
    </sheetView>
  </sheetViews>
  <sheetFormatPr defaultRowHeight="15" x14ac:dyDescent="0.25"/>
  <cols>
    <col min="1" max="1" width="23.7109375" bestFit="1" customWidth="1"/>
    <col min="2" max="2" width="17.5703125" bestFit="1" customWidth="1"/>
    <col min="3" max="3" width="12" bestFit="1" customWidth="1"/>
    <col min="4" max="22" width="12.42578125" customWidth="1"/>
  </cols>
  <sheetData>
    <row r="1" spans="1:22" s="65" customFormat="1" ht="102.75" customHeight="1" x14ac:dyDescent="0.25">
      <c r="A1" s="56" t="s">
        <v>48</v>
      </c>
      <c r="B1" s="57" t="s">
        <v>408</v>
      </c>
      <c r="C1" s="57" t="s">
        <v>409</v>
      </c>
      <c r="D1" s="57" t="s">
        <v>410</v>
      </c>
      <c r="E1" s="58" t="s">
        <v>411</v>
      </c>
      <c r="F1" s="57" t="s">
        <v>412</v>
      </c>
      <c r="G1" s="59" t="s">
        <v>413</v>
      </c>
      <c r="H1" s="59" t="s">
        <v>414</v>
      </c>
      <c r="I1" s="59" t="s">
        <v>415</v>
      </c>
      <c r="J1" s="57" t="s">
        <v>416</v>
      </c>
      <c r="K1" s="57" t="s">
        <v>417</v>
      </c>
      <c r="L1" s="57" t="s">
        <v>418</v>
      </c>
      <c r="M1" s="57" t="s">
        <v>419</v>
      </c>
      <c r="N1" s="57" t="s">
        <v>420</v>
      </c>
      <c r="O1" s="57" t="s">
        <v>421</v>
      </c>
      <c r="P1" s="57" t="s">
        <v>422</v>
      </c>
      <c r="Q1" s="57" t="s">
        <v>423</v>
      </c>
      <c r="R1" s="57" t="s">
        <v>424</v>
      </c>
      <c r="S1" s="57" t="s">
        <v>425</v>
      </c>
      <c r="T1" s="60" t="s">
        <v>426</v>
      </c>
      <c r="U1" s="57" t="s">
        <v>427</v>
      </c>
      <c r="V1" s="57" t="s">
        <v>437</v>
      </c>
    </row>
    <row r="2" spans="1:22" x14ac:dyDescent="0.25">
      <c r="A2" s="62" t="s">
        <v>113</v>
      </c>
      <c r="B2" t="s">
        <v>114</v>
      </c>
      <c r="C2">
        <v>123.34249504493199</v>
      </c>
      <c r="D2" s="61">
        <v>0.57498430833220504</v>
      </c>
      <c r="E2" s="61">
        <v>0</v>
      </c>
      <c r="F2" s="61">
        <v>32.000038027763402</v>
      </c>
      <c r="G2" s="63">
        <v>22.833600640296901</v>
      </c>
      <c r="H2" s="63">
        <v>8.0717258155345899</v>
      </c>
      <c r="I2" s="63">
        <v>1.5429452061653099</v>
      </c>
      <c r="J2" s="61">
        <v>1.31341599626467E-2</v>
      </c>
      <c r="K2" s="61">
        <v>1.6974290832877199</v>
      </c>
      <c r="L2" s="61">
        <v>13.857509195804599</v>
      </c>
      <c r="M2" s="61">
        <v>10.5638898909092</v>
      </c>
      <c r="N2" s="61">
        <v>0.13624021084979199</v>
      </c>
      <c r="O2" s="61">
        <v>8.5404468700289699E-2</v>
      </c>
      <c r="P2" s="61">
        <v>1.5063126571476499</v>
      </c>
      <c r="Q2" s="61">
        <v>0</v>
      </c>
      <c r="R2" s="61">
        <v>4.7849837690591803</v>
      </c>
      <c r="S2" s="61">
        <v>2.3318031802773498</v>
      </c>
      <c r="T2" s="64">
        <v>16.955947875976602</v>
      </c>
      <c r="U2" s="61">
        <v>32.448271661996799</v>
      </c>
      <c r="V2" s="61">
        <v>26.118828170001521</v>
      </c>
    </row>
    <row r="3" spans="1:22" x14ac:dyDescent="0.25">
      <c r="A3" s="62" t="s">
        <v>73</v>
      </c>
      <c r="B3" t="s">
        <v>74</v>
      </c>
      <c r="C3">
        <v>39.558549419498597</v>
      </c>
      <c r="D3" s="61">
        <v>8.1903912359848605E-2</v>
      </c>
      <c r="E3" s="61">
        <v>0</v>
      </c>
      <c r="F3" s="61">
        <v>6.61789774894714</v>
      </c>
      <c r="G3" s="63">
        <v>5.1203463226556796</v>
      </c>
      <c r="H3" s="63">
        <v>4.7288492321968096</v>
      </c>
      <c r="I3" s="63">
        <v>0.94732344150543202</v>
      </c>
      <c r="J3" s="61">
        <v>1.7404580488801</v>
      </c>
      <c r="K3" s="61">
        <v>0.55731781758368004</v>
      </c>
      <c r="L3" s="61">
        <v>44.1033214330673</v>
      </c>
      <c r="M3" s="61">
        <v>5.4235029965639097</v>
      </c>
      <c r="N3" s="61">
        <v>6.9043740630149797</v>
      </c>
      <c r="O3" s="61">
        <v>11.2230628728867</v>
      </c>
      <c r="P3" s="61">
        <v>9.1529339551925695</v>
      </c>
      <c r="Q3" s="61">
        <v>0</v>
      </c>
      <c r="R3" s="61">
        <v>2.80038490891457</v>
      </c>
      <c r="S3" s="61">
        <v>0.59831808321178004</v>
      </c>
      <c r="T3" s="64">
        <v>6.1831388473510698</v>
      </c>
      <c r="U3" s="61">
        <v>10.796518996357921</v>
      </c>
      <c r="V3" s="61">
        <v>50.084142247214892</v>
      </c>
    </row>
    <row r="4" spans="1:22" x14ac:dyDescent="0.25">
      <c r="A4" s="62" t="s">
        <v>188</v>
      </c>
      <c r="B4" t="s">
        <v>189</v>
      </c>
      <c r="C4">
        <v>14.961393459395699</v>
      </c>
      <c r="D4" s="61">
        <v>0</v>
      </c>
      <c r="E4" s="61">
        <v>0</v>
      </c>
      <c r="F4" s="61">
        <v>1.72905940562487</v>
      </c>
      <c r="G4" s="63">
        <v>0.27025823947042199</v>
      </c>
      <c r="H4" s="63">
        <v>2.5525814271531999E-2</v>
      </c>
      <c r="I4" s="63">
        <v>0</v>
      </c>
      <c r="J4" s="61">
        <v>0</v>
      </c>
      <c r="K4" s="61">
        <v>11.3844692707062</v>
      </c>
      <c r="L4" s="61">
        <v>51.386284828186</v>
      </c>
      <c r="M4" s="61">
        <v>28.756871819496101</v>
      </c>
      <c r="N4" s="61">
        <v>3.43946665525436</v>
      </c>
      <c r="O4" s="61">
        <v>2.2682687267661099</v>
      </c>
      <c r="P4" s="61">
        <v>0.303797516971827</v>
      </c>
      <c r="Q4" s="61">
        <v>0</v>
      </c>
      <c r="R4" s="61">
        <v>0.43599354103207599</v>
      </c>
      <c r="S4" s="61">
        <v>0</v>
      </c>
      <c r="T4" s="64">
        <v>0.22439329326152799</v>
      </c>
      <c r="U4" s="61">
        <v>0.29578405374195399</v>
      </c>
      <c r="V4" s="61">
        <v>91.527625918388296</v>
      </c>
    </row>
    <row r="5" spans="1:22" x14ac:dyDescent="0.25">
      <c r="A5" s="62" t="s">
        <v>123</v>
      </c>
      <c r="B5" t="s">
        <v>125</v>
      </c>
      <c r="C5">
        <v>50.5372401513117</v>
      </c>
      <c r="D5" s="61">
        <v>1.01331220939755</v>
      </c>
      <c r="E5" s="61">
        <v>0</v>
      </c>
      <c r="F5" s="61">
        <v>5.4547186940908396</v>
      </c>
      <c r="G5" s="63">
        <v>1.2888761237263699</v>
      </c>
      <c r="H5" s="63">
        <v>9.6293998649343807E-2</v>
      </c>
      <c r="I5" s="63">
        <v>4.3359159462852398E-4</v>
      </c>
      <c r="J5" s="61">
        <v>0</v>
      </c>
      <c r="K5" s="61">
        <v>4.4207353144884101</v>
      </c>
      <c r="L5" s="61">
        <v>61.534088850021398</v>
      </c>
      <c r="M5" s="61">
        <v>15.988709032535599</v>
      </c>
      <c r="N5" s="61">
        <v>2.7666186913847901</v>
      </c>
      <c r="O5" s="61">
        <v>2.2817367687821402</v>
      </c>
      <c r="P5" s="61">
        <v>0.62105725519359101</v>
      </c>
      <c r="Q5" s="61">
        <v>0</v>
      </c>
      <c r="R5" s="61">
        <v>4.4924639165401503</v>
      </c>
      <c r="S5" s="61">
        <v>4.0959895704872899E-2</v>
      </c>
      <c r="T5" s="64">
        <v>0.93530923128128096</v>
      </c>
      <c r="U5" s="61">
        <v>1.3856037139703423</v>
      </c>
      <c r="V5" s="61">
        <v>81.943533197045397</v>
      </c>
    </row>
    <row r="6" spans="1:22" x14ac:dyDescent="0.25">
      <c r="A6" s="62" t="s">
        <v>317</v>
      </c>
      <c r="B6" t="s">
        <v>318</v>
      </c>
      <c r="C6">
        <v>2.3806298670764798</v>
      </c>
      <c r="D6" s="61">
        <v>0</v>
      </c>
      <c r="E6" s="61">
        <v>0</v>
      </c>
      <c r="F6" s="61">
        <v>16.119502484798399</v>
      </c>
      <c r="G6" s="63">
        <v>3.1347926706075699</v>
      </c>
      <c r="H6" s="63">
        <v>0.28541490901261601</v>
      </c>
      <c r="I6" s="63">
        <v>0</v>
      </c>
      <c r="J6" s="61">
        <v>0</v>
      </c>
      <c r="K6" s="61">
        <v>0.713403429836035</v>
      </c>
      <c r="L6" s="61">
        <v>42.416375875473001</v>
      </c>
      <c r="M6" s="61">
        <v>19.0534234046936</v>
      </c>
      <c r="N6" s="61">
        <v>0</v>
      </c>
      <c r="O6" s="61">
        <v>0</v>
      </c>
      <c r="P6" s="61">
        <v>17.936840653419502</v>
      </c>
      <c r="Q6" s="61">
        <v>0</v>
      </c>
      <c r="R6" s="61">
        <v>0.34024608321487898</v>
      </c>
      <c r="S6" s="61">
        <v>0</v>
      </c>
      <c r="T6" s="64">
        <v>2.8491477966308598</v>
      </c>
      <c r="U6" s="61">
        <v>3.4202075796201861</v>
      </c>
      <c r="V6" s="61">
        <v>62.183202710002632</v>
      </c>
    </row>
    <row r="7" spans="1:22" x14ac:dyDescent="0.25">
      <c r="A7" s="62" t="s">
        <v>306</v>
      </c>
      <c r="B7" t="s">
        <v>428</v>
      </c>
      <c r="C7">
        <v>14.617636430961999</v>
      </c>
      <c r="D7" s="61">
        <v>1.2313891784288E-2</v>
      </c>
      <c r="E7" s="61">
        <v>0</v>
      </c>
      <c r="F7" s="61">
        <v>19.272120296955102</v>
      </c>
      <c r="G7" s="63">
        <v>22.4942982196808</v>
      </c>
      <c r="H7" s="63">
        <v>15.465603768825501</v>
      </c>
      <c r="I7" s="63">
        <v>1.3093809597194199</v>
      </c>
      <c r="J7" s="61">
        <v>0</v>
      </c>
      <c r="K7" s="61">
        <v>7.3165774345397896</v>
      </c>
      <c r="L7" s="61">
        <v>2.0212780684232698</v>
      </c>
      <c r="M7" s="61">
        <v>31.814351677894599</v>
      </c>
      <c r="N7" s="61">
        <v>6.7726406268775505E-2</v>
      </c>
      <c r="O7" s="61">
        <v>0</v>
      </c>
      <c r="P7" s="61">
        <v>0.177093979436904</v>
      </c>
      <c r="Q7" s="61">
        <v>0</v>
      </c>
      <c r="R7" s="61">
        <v>4.9255567137151998E-2</v>
      </c>
      <c r="S7" s="61">
        <v>0</v>
      </c>
      <c r="T7" s="64">
        <v>19.957798004150401</v>
      </c>
      <c r="U7" s="61">
        <v>39.269282948225722</v>
      </c>
      <c r="V7" s="61">
        <v>41.152207180857658</v>
      </c>
    </row>
    <row r="8" spans="1:22" x14ac:dyDescent="0.25">
      <c r="A8" s="62" t="s">
        <v>352</v>
      </c>
      <c r="B8" t="s">
        <v>428</v>
      </c>
      <c r="C8">
        <v>7.1488751209223</v>
      </c>
      <c r="D8" s="61">
        <v>0</v>
      </c>
      <c r="E8" s="61">
        <v>0</v>
      </c>
      <c r="F8" s="61">
        <v>10.4639232158661</v>
      </c>
      <c r="G8" s="63">
        <v>7.0417650043964404</v>
      </c>
      <c r="H8" s="63">
        <v>14.884003996849099</v>
      </c>
      <c r="I8" s="63">
        <v>2.0479252561926802</v>
      </c>
      <c r="J8" s="61">
        <v>0</v>
      </c>
      <c r="K8" s="61">
        <v>1.6874797642231001</v>
      </c>
      <c r="L8" s="61">
        <v>30.620151758194002</v>
      </c>
      <c r="M8" s="61">
        <v>31.717973947525</v>
      </c>
      <c r="N8" s="61">
        <v>0.60219080187380303</v>
      </c>
      <c r="O8" s="61">
        <v>0</v>
      </c>
      <c r="P8" s="61">
        <v>0.113304541446269</v>
      </c>
      <c r="Q8" s="61">
        <v>0</v>
      </c>
      <c r="R8" s="61">
        <v>0.821282248944044</v>
      </c>
      <c r="S8" s="61">
        <v>0</v>
      </c>
      <c r="T8" s="64">
        <v>14.888334274291999</v>
      </c>
      <c r="U8" s="61">
        <v>23.973694257438222</v>
      </c>
      <c r="V8" s="61">
        <v>64.025605469942107</v>
      </c>
    </row>
    <row r="9" spans="1:22" x14ac:dyDescent="0.25">
      <c r="A9" s="62" t="s">
        <v>328</v>
      </c>
      <c r="B9" t="s">
        <v>329</v>
      </c>
      <c r="C9">
        <v>0.58498809636842097</v>
      </c>
      <c r="D9" s="61">
        <v>0</v>
      </c>
      <c r="E9" s="61">
        <v>0</v>
      </c>
      <c r="F9" s="61">
        <v>19.324867427349101</v>
      </c>
      <c r="G9" s="63">
        <v>27.3242861032486</v>
      </c>
      <c r="H9" s="63">
        <v>23.5202357172966</v>
      </c>
      <c r="I9" s="63">
        <v>8.2200586795806903</v>
      </c>
      <c r="J9" s="61">
        <v>0</v>
      </c>
      <c r="K9" s="61">
        <v>2.6154378429055201</v>
      </c>
      <c r="L9" s="61">
        <v>4.0776982903480503</v>
      </c>
      <c r="M9" s="61">
        <v>14.9174183607101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4">
        <v>32.838733673095703</v>
      </c>
      <c r="U9" s="61">
        <v>59.064580500125885</v>
      </c>
      <c r="V9" s="61">
        <v>21.610554493963669</v>
      </c>
    </row>
    <row r="10" spans="1:22" x14ac:dyDescent="0.25">
      <c r="A10" s="62" t="s">
        <v>358</v>
      </c>
      <c r="B10" t="s">
        <v>360</v>
      </c>
      <c r="C10">
        <v>26.601287590210301</v>
      </c>
      <c r="D10" s="61">
        <v>1.83036252856255</v>
      </c>
      <c r="E10" s="61">
        <v>0</v>
      </c>
      <c r="F10" s="61">
        <v>36.097079515457203</v>
      </c>
      <c r="G10" s="63">
        <v>27.356004714965799</v>
      </c>
      <c r="H10" s="63">
        <v>5.0371233373880404</v>
      </c>
      <c r="I10" s="63">
        <v>1.29407588392496</v>
      </c>
      <c r="J10" s="61">
        <v>0</v>
      </c>
      <c r="K10" s="61">
        <v>1.18192695081234</v>
      </c>
      <c r="L10" s="61">
        <v>14.3591582775116</v>
      </c>
      <c r="M10" s="61">
        <v>6.4488403499126399</v>
      </c>
      <c r="N10" s="61">
        <v>0.111648731399328</v>
      </c>
      <c r="O10" s="61">
        <v>0.37892903201282002</v>
      </c>
      <c r="P10" s="61">
        <v>7.4432487599551705E-2</v>
      </c>
      <c r="Q10" s="61">
        <v>0</v>
      </c>
      <c r="R10" s="61">
        <v>4.3490093201398903</v>
      </c>
      <c r="S10" s="61">
        <v>1.4814089983701699</v>
      </c>
      <c r="T10" s="64">
        <v>16.685585021972699</v>
      </c>
      <c r="U10" s="61">
        <v>33.687203936278799</v>
      </c>
      <c r="V10" s="61">
        <v>21.98992557823658</v>
      </c>
    </row>
    <row r="11" spans="1:22" x14ac:dyDescent="0.25">
      <c r="A11" s="62" t="s">
        <v>132</v>
      </c>
      <c r="B11" t="s">
        <v>133</v>
      </c>
      <c r="C11">
        <v>44.271650506350198</v>
      </c>
      <c r="D11" s="61">
        <v>3.2709419727325399</v>
      </c>
      <c r="E11" s="61">
        <v>0</v>
      </c>
      <c r="F11" s="61">
        <v>14.9210974574089</v>
      </c>
      <c r="G11" s="63">
        <v>12.8169625997543</v>
      </c>
      <c r="H11" s="63">
        <v>6.5577365458011601</v>
      </c>
      <c r="I11" s="63">
        <v>0.35410083364695299</v>
      </c>
      <c r="J11" s="61">
        <v>2.3112583905458499</v>
      </c>
      <c r="K11" s="61">
        <v>4.5337546616792697</v>
      </c>
      <c r="L11" s="61">
        <v>30.681356787681601</v>
      </c>
      <c r="M11" s="61">
        <v>11.026963591575599</v>
      </c>
      <c r="N11" s="61">
        <v>4.60790768265724</v>
      </c>
      <c r="O11" s="61">
        <v>1.20122777298093</v>
      </c>
      <c r="P11" s="61">
        <v>2.04667914658785</v>
      </c>
      <c r="Q11" s="61">
        <v>4.06580729759298E-3</v>
      </c>
      <c r="R11" s="61">
        <v>4.7572396695613897</v>
      </c>
      <c r="S11" s="61">
        <v>0.90870792046189297</v>
      </c>
      <c r="T11" s="64">
        <v>10.134401321411101</v>
      </c>
      <c r="U11" s="61">
        <v>19.728799979202414</v>
      </c>
      <c r="V11" s="61">
        <v>46.24207504093647</v>
      </c>
    </row>
    <row r="12" spans="1:22" x14ac:dyDescent="0.25">
      <c r="A12" s="62" t="s">
        <v>152</v>
      </c>
      <c r="B12" t="s">
        <v>153</v>
      </c>
      <c r="C12">
        <v>2.7909910831518898</v>
      </c>
      <c r="D12" s="61">
        <v>0</v>
      </c>
      <c r="E12" s="61">
        <v>0</v>
      </c>
      <c r="F12" s="61">
        <v>36.557510495185802</v>
      </c>
      <c r="G12" s="63">
        <v>22.808545827865601</v>
      </c>
      <c r="H12" s="63">
        <v>14.4280388951302</v>
      </c>
      <c r="I12" s="63">
        <v>1.0216921567916899</v>
      </c>
      <c r="J12" s="61">
        <v>0</v>
      </c>
      <c r="K12" s="61">
        <v>0.61268555000424396</v>
      </c>
      <c r="L12" s="61">
        <v>10.530913621187199</v>
      </c>
      <c r="M12" s="61">
        <v>9.7892448306083697</v>
      </c>
      <c r="N12" s="61">
        <v>0</v>
      </c>
      <c r="O12" s="61">
        <v>0</v>
      </c>
      <c r="P12" s="61">
        <v>0</v>
      </c>
      <c r="Q12" s="61">
        <v>0</v>
      </c>
      <c r="R12" s="61">
        <v>4.2191177606582597</v>
      </c>
      <c r="S12" s="61">
        <v>3.22466075886041E-2</v>
      </c>
      <c r="T12" s="64">
        <v>21.239496231079102</v>
      </c>
      <c r="U12" s="61">
        <v>38.258276879787488</v>
      </c>
      <c r="V12" s="61">
        <v>20.932844001799815</v>
      </c>
    </row>
    <row r="13" spans="1:22" x14ac:dyDescent="0.25">
      <c r="A13" s="62" t="s">
        <v>385</v>
      </c>
      <c r="B13" t="s">
        <v>429</v>
      </c>
      <c r="C13">
        <v>9.5075485897143306</v>
      </c>
      <c r="D13" s="61">
        <v>0.36918031983077498</v>
      </c>
      <c r="E13" s="61">
        <v>0</v>
      </c>
      <c r="F13" s="61">
        <v>28.650796413421599</v>
      </c>
      <c r="G13" s="63">
        <v>27.259770035743699</v>
      </c>
      <c r="H13" s="63">
        <v>23.1425732374191</v>
      </c>
      <c r="I13" s="63">
        <v>3.1646974384784698</v>
      </c>
      <c r="J13" s="61">
        <v>0</v>
      </c>
      <c r="K13" s="61">
        <v>0.92512769624590896</v>
      </c>
      <c r="L13" s="61">
        <v>4.5542981475591704</v>
      </c>
      <c r="M13" s="61">
        <v>5.5358327925205204</v>
      </c>
      <c r="N13" s="61">
        <v>0</v>
      </c>
      <c r="O13" s="61">
        <v>0</v>
      </c>
      <c r="P13" s="61">
        <v>1.7944071441888799E-2</v>
      </c>
      <c r="Q13" s="61">
        <v>0</v>
      </c>
      <c r="R13" s="61">
        <v>5.3100973367690996</v>
      </c>
      <c r="S13" s="61">
        <v>1.06967631727457</v>
      </c>
      <c r="T13" s="64">
        <v>29.315574645996101</v>
      </c>
      <c r="U13" s="61">
        <v>53.567040711641269</v>
      </c>
      <c r="V13" s="61">
        <v>11.0152586363256</v>
      </c>
    </row>
    <row r="14" spans="1:22" x14ac:dyDescent="0.25">
      <c r="A14" s="62" t="s">
        <v>323</v>
      </c>
      <c r="B14" t="s">
        <v>324</v>
      </c>
      <c r="C14">
        <v>2.3491521460434099</v>
      </c>
      <c r="D14" s="61">
        <v>0.114935089368373</v>
      </c>
      <c r="E14" s="61">
        <v>0</v>
      </c>
      <c r="F14" s="61">
        <v>20.512965321540801</v>
      </c>
      <c r="G14" s="63">
        <v>53.273183107376099</v>
      </c>
      <c r="H14" s="63">
        <v>26.098918914794901</v>
      </c>
      <c r="I14" s="63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  <c r="P14" s="61">
        <v>0</v>
      </c>
      <c r="Q14" s="61">
        <v>0</v>
      </c>
      <c r="R14" s="61">
        <v>0</v>
      </c>
      <c r="S14" s="61">
        <v>0</v>
      </c>
      <c r="T14" s="64">
        <v>36.221927642822301</v>
      </c>
      <c r="U14" s="61">
        <v>79.372102022170992</v>
      </c>
      <c r="V14" s="61">
        <v>0</v>
      </c>
    </row>
    <row r="15" spans="1:22" x14ac:dyDescent="0.25">
      <c r="A15" s="62" t="s">
        <v>174</v>
      </c>
      <c r="B15" t="s">
        <v>175</v>
      </c>
      <c r="C15">
        <v>5.5757419563841104</v>
      </c>
      <c r="D15" s="61">
        <v>0.40353373624384398</v>
      </c>
      <c r="E15" s="61">
        <v>0</v>
      </c>
      <c r="F15" s="61">
        <v>13.555108010768899</v>
      </c>
      <c r="G15" s="63">
        <v>44.186082482338001</v>
      </c>
      <c r="H15" s="63">
        <v>33.420321345329299</v>
      </c>
      <c r="I15" s="63">
        <v>8.1844843924045598</v>
      </c>
      <c r="J15" s="61">
        <v>0</v>
      </c>
      <c r="K15" s="61">
        <v>0</v>
      </c>
      <c r="L15" s="61">
        <v>8.3469836681615596E-3</v>
      </c>
      <c r="M15" s="61">
        <v>0</v>
      </c>
      <c r="N15" s="61">
        <v>0</v>
      </c>
      <c r="O15" s="61">
        <v>0</v>
      </c>
      <c r="P15" s="61">
        <v>0</v>
      </c>
      <c r="Q15" s="61">
        <v>0</v>
      </c>
      <c r="R15" s="61">
        <v>0.24212023708969399</v>
      </c>
      <c r="S15" s="61">
        <v>0</v>
      </c>
      <c r="T15" s="64">
        <v>45.040374755859403</v>
      </c>
      <c r="U15" s="61">
        <v>85.790888220071849</v>
      </c>
      <c r="V15" s="61">
        <v>8.3469836681615596E-3</v>
      </c>
    </row>
    <row r="16" spans="1:22" x14ac:dyDescent="0.25">
      <c r="A16" s="62" t="s">
        <v>164</v>
      </c>
      <c r="B16" t="s">
        <v>165</v>
      </c>
      <c r="C16">
        <v>1.22627827171305</v>
      </c>
      <c r="D16" s="61">
        <v>0</v>
      </c>
      <c r="E16" s="61">
        <v>0</v>
      </c>
      <c r="F16" s="61">
        <v>35.066482424736002</v>
      </c>
      <c r="G16" s="63">
        <v>20.293790102005001</v>
      </c>
      <c r="H16" s="63">
        <v>10.08141040802</v>
      </c>
      <c r="I16" s="63">
        <v>6.3404873013496399</v>
      </c>
      <c r="J16" s="61">
        <v>0</v>
      </c>
      <c r="K16" s="61">
        <v>6.6929765045642897</v>
      </c>
      <c r="L16" s="61">
        <v>3.53005714714527</v>
      </c>
      <c r="M16" s="61">
        <v>16.525524854659999</v>
      </c>
      <c r="N16" s="61">
        <v>0</v>
      </c>
      <c r="O16" s="61">
        <v>0</v>
      </c>
      <c r="P16" s="61">
        <v>1.4692752622067899</v>
      </c>
      <c r="Q16" s="61">
        <v>0</v>
      </c>
      <c r="R16" s="61">
        <v>0</v>
      </c>
      <c r="S16" s="61">
        <v>0</v>
      </c>
      <c r="T16" s="64">
        <v>21.5356140136719</v>
      </c>
      <c r="U16" s="61">
        <v>36.715687811374643</v>
      </c>
      <c r="V16" s="61">
        <v>26.748558506369559</v>
      </c>
    </row>
    <row r="17" spans="1:22" x14ac:dyDescent="0.25">
      <c r="A17" s="62" t="s">
        <v>182</v>
      </c>
      <c r="B17" t="s">
        <v>183</v>
      </c>
      <c r="C17">
        <v>41.881572729277899</v>
      </c>
      <c r="D17" s="61">
        <v>2.79359141131863E-2</v>
      </c>
      <c r="E17" s="61">
        <v>0</v>
      </c>
      <c r="F17" s="61">
        <v>1.95170547813177</v>
      </c>
      <c r="G17" s="63">
        <v>0.41677844710648099</v>
      </c>
      <c r="H17" s="63">
        <v>6.4467494667042003E-3</v>
      </c>
      <c r="I17" s="63">
        <v>0</v>
      </c>
      <c r="J17" s="61">
        <v>2.3638080165255801E-2</v>
      </c>
      <c r="K17" s="61">
        <v>0.27788446750491902</v>
      </c>
      <c r="L17" s="61">
        <v>70.599329471588106</v>
      </c>
      <c r="M17" s="61">
        <v>7.0137009024620101</v>
      </c>
      <c r="N17" s="61">
        <v>10.6340482831001</v>
      </c>
      <c r="O17" s="61">
        <v>3.2478060573339498</v>
      </c>
      <c r="P17" s="61">
        <v>1.39861615025438E-2</v>
      </c>
      <c r="Q17" s="61">
        <v>0</v>
      </c>
      <c r="R17" s="61">
        <v>5.6576512753963497</v>
      </c>
      <c r="S17" s="61">
        <v>0.129081984050572</v>
      </c>
      <c r="T17" s="64">
        <v>0.30042752623558</v>
      </c>
      <c r="U17" s="61">
        <v>0.42322519657318519</v>
      </c>
      <c r="V17" s="61">
        <v>77.890914841555031</v>
      </c>
    </row>
    <row r="18" spans="1:22" x14ac:dyDescent="0.25">
      <c r="A18" s="62" t="s">
        <v>278</v>
      </c>
      <c r="B18" t="s">
        <v>279</v>
      </c>
      <c r="C18">
        <v>1.5982777951934699</v>
      </c>
      <c r="D18" s="61">
        <v>0</v>
      </c>
      <c r="E18" s="61">
        <v>0</v>
      </c>
      <c r="F18" s="61">
        <v>12.4858230352402</v>
      </c>
      <c r="G18" s="63">
        <v>47.748738527298002</v>
      </c>
      <c r="H18" s="63">
        <v>36.755487322807298</v>
      </c>
      <c r="I18" s="63">
        <v>0.47597265802323802</v>
      </c>
      <c r="J18" s="61">
        <v>0</v>
      </c>
      <c r="K18" s="61">
        <v>0</v>
      </c>
      <c r="L18" s="61">
        <v>1.91456079483032</v>
      </c>
      <c r="M18" s="61">
        <v>0.61941673047840595</v>
      </c>
      <c r="N18" s="61">
        <v>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4">
        <v>41.580722808837898</v>
      </c>
      <c r="U18" s="61">
        <v>84.980198508128538</v>
      </c>
      <c r="V18" s="61">
        <v>2.533977525308726</v>
      </c>
    </row>
    <row r="19" spans="1:22" x14ac:dyDescent="0.25">
      <c r="A19" s="62" t="s">
        <v>108</v>
      </c>
      <c r="B19" t="s">
        <v>109</v>
      </c>
      <c r="C19">
        <v>148.775586364746</v>
      </c>
      <c r="D19" s="61">
        <v>9.92098241113126E-2</v>
      </c>
      <c r="E19" s="61">
        <v>0</v>
      </c>
      <c r="F19" s="61">
        <v>12.4027252197266</v>
      </c>
      <c r="G19" s="63">
        <v>6.6814117133617401</v>
      </c>
      <c r="H19" s="63">
        <v>5.0475139170885104</v>
      </c>
      <c r="I19" s="63">
        <v>0.83986287936568305</v>
      </c>
      <c r="J19" s="61">
        <v>0.10971856536343701</v>
      </c>
      <c r="K19" s="61">
        <v>6.3902057707309696</v>
      </c>
      <c r="L19" s="61">
        <v>33.454686403274501</v>
      </c>
      <c r="M19" s="61">
        <v>28.086066246032701</v>
      </c>
      <c r="N19" s="61">
        <v>1.60492714494467</v>
      </c>
      <c r="O19" s="61">
        <v>1.09287211671472</v>
      </c>
      <c r="P19" s="61">
        <v>2.4715105071663901</v>
      </c>
      <c r="Q19" s="61">
        <v>0</v>
      </c>
      <c r="R19" s="61">
        <v>1.46717010065913</v>
      </c>
      <c r="S19" s="61">
        <v>0.252121710218489</v>
      </c>
      <c r="T19" s="64">
        <v>7.3361968994140598</v>
      </c>
      <c r="U19" s="61">
        <v>12.568788509815933</v>
      </c>
      <c r="V19" s="61">
        <v>67.930958420038166</v>
      </c>
    </row>
    <row r="20" spans="1:22" x14ac:dyDescent="0.25">
      <c r="A20" s="62" t="s">
        <v>334</v>
      </c>
      <c r="B20" t="s">
        <v>109</v>
      </c>
      <c r="C20">
        <v>109.592728554326</v>
      </c>
      <c r="D20" s="61">
        <v>0.11332868598401501</v>
      </c>
      <c r="E20" s="61">
        <v>0</v>
      </c>
      <c r="F20" s="61">
        <v>14.058989286422699</v>
      </c>
      <c r="G20" s="63">
        <v>5.6599896401166898</v>
      </c>
      <c r="H20" s="63">
        <v>0.79297944903373696</v>
      </c>
      <c r="I20" s="63">
        <v>2.9850236023776199E-2</v>
      </c>
      <c r="J20" s="61">
        <v>6.4360507531091599E-2</v>
      </c>
      <c r="K20" s="61">
        <v>7.6008625328540802</v>
      </c>
      <c r="L20" s="61">
        <v>34.587028622627301</v>
      </c>
      <c r="M20" s="61">
        <v>28.803268074989301</v>
      </c>
      <c r="N20" s="61">
        <v>2.13575828820467</v>
      </c>
      <c r="O20" s="61">
        <v>1.27473967149854</v>
      </c>
      <c r="P20" s="61">
        <v>3.2723896205425298</v>
      </c>
      <c r="Q20" s="61">
        <v>0</v>
      </c>
      <c r="R20" s="61">
        <v>1.3315347023308299</v>
      </c>
      <c r="S20" s="61">
        <v>0.27492293156683401</v>
      </c>
      <c r="T20" s="64">
        <v>3.6021685600280802</v>
      </c>
      <c r="U20" s="61">
        <v>6.4828193251742032</v>
      </c>
      <c r="V20" s="61">
        <v>70.991159230470686</v>
      </c>
    </row>
    <row r="21" spans="1:22" x14ac:dyDescent="0.25">
      <c r="A21" s="62" t="s">
        <v>197</v>
      </c>
      <c r="B21" t="s">
        <v>198</v>
      </c>
      <c r="C21">
        <v>44.257084621764101</v>
      </c>
      <c r="D21" s="61">
        <v>1.58008597791195</v>
      </c>
      <c r="E21" s="61">
        <v>0</v>
      </c>
      <c r="F21" s="61">
        <v>26.271170377731298</v>
      </c>
      <c r="G21" s="63">
        <v>24.551501870155299</v>
      </c>
      <c r="H21" s="63">
        <v>19.085082411766098</v>
      </c>
      <c r="I21" s="63">
        <v>3.0860960483550999</v>
      </c>
      <c r="J21" s="61">
        <v>0.697515439242125</v>
      </c>
      <c r="K21" s="61">
        <v>2.1360307931900002</v>
      </c>
      <c r="L21" s="61">
        <v>8.00822004675865</v>
      </c>
      <c r="M21" s="61">
        <v>7.8654482960700998</v>
      </c>
      <c r="N21" s="61">
        <v>0.23792800493538399</v>
      </c>
      <c r="O21" s="61">
        <v>0.25129381101578502</v>
      </c>
      <c r="P21" s="61">
        <v>1.3707852922379999</v>
      </c>
      <c r="Q21" s="61">
        <v>0</v>
      </c>
      <c r="R21" s="61">
        <v>4.57210801541805</v>
      </c>
      <c r="S21" s="61">
        <v>0.28673375491052899</v>
      </c>
      <c r="T21" s="64">
        <v>25.600465774536101</v>
      </c>
      <c r="U21" s="61">
        <v>46.722680330276503</v>
      </c>
      <c r="V21" s="61">
        <v>18.009699136018749</v>
      </c>
    </row>
    <row r="22" spans="1:22" x14ac:dyDescent="0.25">
      <c r="A22" s="62" t="s">
        <v>205</v>
      </c>
      <c r="B22" t="s">
        <v>206</v>
      </c>
      <c r="C22">
        <v>18.022832893497799</v>
      </c>
      <c r="D22" s="61">
        <v>4.4942990643903599E-2</v>
      </c>
      <c r="E22" s="61">
        <v>0</v>
      </c>
      <c r="F22" s="61">
        <v>13.474999368190799</v>
      </c>
      <c r="G22" s="63">
        <v>32.8931421041489</v>
      </c>
      <c r="H22" s="63">
        <v>42.544412612915004</v>
      </c>
      <c r="I22" s="63">
        <v>8.1963844597339595</v>
      </c>
      <c r="J22" s="61">
        <v>0</v>
      </c>
      <c r="K22" s="61">
        <v>0.57715205475688003</v>
      </c>
      <c r="L22" s="61">
        <v>0.48438557423651202</v>
      </c>
      <c r="M22" s="61">
        <v>1.0505138896405699</v>
      </c>
      <c r="N22" s="61">
        <v>0</v>
      </c>
      <c r="O22" s="61">
        <v>0</v>
      </c>
      <c r="P22" s="61">
        <v>0</v>
      </c>
      <c r="Q22" s="61">
        <v>0</v>
      </c>
      <c r="R22" s="61">
        <v>0.69911321625113498</v>
      </c>
      <c r="S22" s="61">
        <v>3.4955659066326902E-2</v>
      </c>
      <c r="T22" s="64">
        <v>46.3825492858887</v>
      </c>
      <c r="U22" s="61">
        <v>83.633939176797867</v>
      </c>
      <c r="V22" s="61">
        <v>2.1120515186339617</v>
      </c>
    </row>
    <row r="23" spans="1:22" x14ac:dyDescent="0.25">
      <c r="A23" s="62" t="s">
        <v>213</v>
      </c>
      <c r="B23" t="s">
        <v>214</v>
      </c>
      <c r="C23">
        <v>12.396353815308901</v>
      </c>
      <c r="D23" s="61">
        <v>0</v>
      </c>
      <c r="E23" s="61">
        <v>0</v>
      </c>
      <c r="F23" s="61">
        <v>15.970160067081499</v>
      </c>
      <c r="G23" s="63">
        <v>5.1592014729976698</v>
      </c>
      <c r="H23" s="63">
        <v>1.54226068407297</v>
      </c>
      <c r="I23" s="63">
        <v>0.29040796216577303</v>
      </c>
      <c r="J23" s="61">
        <v>0</v>
      </c>
      <c r="K23" s="61">
        <v>6.0311939567327499</v>
      </c>
      <c r="L23" s="61">
        <v>30.323618650436401</v>
      </c>
      <c r="M23" s="61">
        <v>23.900982737541199</v>
      </c>
      <c r="N23" s="61">
        <v>0.26862737722694902</v>
      </c>
      <c r="O23" s="61">
        <v>0.196025380864739</v>
      </c>
      <c r="P23" s="61">
        <v>11.976962536573399</v>
      </c>
      <c r="Q23" s="61">
        <v>0</v>
      </c>
      <c r="R23" s="61">
        <v>3.9557654410600702</v>
      </c>
      <c r="S23" s="61">
        <v>0.384790566749871</v>
      </c>
      <c r="T23" s="64">
        <v>4.3650093078613299</v>
      </c>
      <c r="U23" s="61">
        <v>6.9918701192364132</v>
      </c>
      <c r="V23" s="61">
        <v>60.25579534471035</v>
      </c>
    </row>
    <row r="24" spans="1:22" x14ac:dyDescent="0.25">
      <c r="A24" s="62" t="s">
        <v>147</v>
      </c>
      <c r="B24" t="s">
        <v>148</v>
      </c>
      <c r="C24">
        <v>13.7369804315269</v>
      </c>
      <c r="D24" s="61">
        <v>2.0768756046891199</v>
      </c>
      <c r="E24" s="61">
        <v>0</v>
      </c>
      <c r="F24" s="61">
        <v>28.574994206428499</v>
      </c>
      <c r="G24" s="63">
        <v>24.683009088039402</v>
      </c>
      <c r="H24" s="63">
        <v>20.420004427433</v>
      </c>
      <c r="I24" s="63">
        <v>1.1184330098330999</v>
      </c>
      <c r="J24" s="61">
        <v>0</v>
      </c>
      <c r="K24" s="61">
        <v>2.6641562581062299</v>
      </c>
      <c r="L24" s="61">
        <v>8.1475041806697792</v>
      </c>
      <c r="M24" s="61">
        <v>7.9414464533329001</v>
      </c>
      <c r="N24" s="61">
        <v>0</v>
      </c>
      <c r="O24" s="61">
        <v>0</v>
      </c>
      <c r="P24" s="61">
        <v>1.8178881146013699E-2</v>
      </c>
      <c r="Q24" s="61">
        <v>0</v>
      </c>
      <c r="R24" s="61">
        <v>3.3202394843101501</v>
      </c>
      <c r="S24" s="61">
        <v>1.0351619683206099</v>
      </c>
      <c r="T24" s="64">
        <v>24.907655715942401</v>
      </c>
      <c r="U24" s="61">
        <v>46.221446525305495</v>
      </c>
      <c r="V24" s="61">
        <v>18.75310689210891</v>
      </c>
    </row>
    <row r="25" spans="1:22" x14ac:dyDescent="0.25">
      <c r="A25" s="62" t="s">
        <v>271</v>
      </c>
      <c r="B25" t="s">
        <v>272</v>
      </c>
      <c r="C25">
        <v>4.1837016875987398</v>
      </c>
      <c r="D25" s="61">
        <v>0</v>
      </c>
      <c r="E25" s="61">
        <v>0</v>
      </c>
      <c r="F25" s="61">
        <v>21.1787045001984</v>
      </c>
      <c r="G25" s="63">
        <v>30.1964610815048</v>
      </c>
      <c r="H25" s="63">
        <v>26.7769038677216</v>
      </c>
      <c r="I25" s="63">
        <v>0.686510559171438</v>
      </c>
      <c r="J25" s="61">
        <v>0</v>
      </c>
      <c r="K25" s="61">
        <v>2.0050136372447001</v>
      </c>
      <c r="L25" s="61">
        <v>3.2386027276516001</v>
      </c>
      <c r="M25" s="61">
        <v>15.917800366878501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4">
        <v>29.496578216552699</v>
      </c>
      <c r="U25" s="61">
        <v>57.659875508397839</v>
      </c>
      <c r="V25" s="61">
        <v>21.1614167317748</v>
      </c>
    </row>
    <row r="26" spans="1:22" x14ac:dyDescent="0.25">
      <c r="A26" s="62" t="s">
        <v>218</v>
      </c>
      <c r="B26" t="s">
        <v>219</v>
      </c>
      <c r="C26">
        <v>39.223016357895901</v>
      </c>
      <c r="D26" s="61">
        <v>1.37674272991717E-2</v>
      </c>
      <c r="E26" s="61">
        <v>0</v>
      </c>
      <c r="F26" s="61">
        <v>36.654472351074197</v>
      </c>
      <c r="G26" s="63">
        <v>24.4031310081482</v>
      </c>
      <c r="H26" s="63">
        <v>13.045680522918699</v>
      </c>
      <c r="I26" s="63">
        <v>4.4664159417152396</v>
      </c>
      <c r="J26" s="61">
        <v>0</v>
      </c>
      <c r="K26" s="61">
        <v>1.0329895652830601</v>
      </c>
      <c r="L26" s="61">
        <v>8.7406896054744703</v>
      </c>
      <c r="M26" s="61">
        <v>6.4344830811023703</v>
      </c>
      <c r="N26" s="61">
        <v>3.6268561962060603E-2</v>
      </c>
      <c r="O26" s="61">
        <v>0</v>
      </c>
      <c r="P26" s="61">
        <v>0.48459498211741397</v>
      </c>
      <c r="Q26" s="61">
        <v>0</v>
      </c>
      <c r="R26" s="61">
        <v>4.4511687010526702</v>
      </c>
      <c r="S26" s="61">
        <v>0.23634082172066001</v>
      </c>
      <c r="T26" s="64">
        <v>23.755723953247099</v>
      </c>
      <c r="U26" s="61">
        <v>41.915227472782142</v>
      </c>
      <c r="V26" s="61">
        <v>16.2081622518599</v>
      </c>
    </row>
    <row r="27" spans="1:22" x14ac:dyDescent="0.25">
      <c r="A27" s="62" t="s">
        <v>389</v>
      </c>
      <c r="B27" t="s">
        <v>219</v>
      </c>
      <c r="C27">
        <v>14.558849195983401</v>
      </c>
      <c r="D27" s="61">
        <v>1.85454220627435E-2</v>
      </c>
      <c r="E27" s="61">
        <v>0</v>
      </c>
      <c r="F27" s="61">
        <v>35.549572110176101</v>
      </c>
      <c r="G27" s="63">
        <v>23.3136877417564</v>
      </c>
      <c r="H27" s="63">
        <v>12.2437499463558</v>
      </c>
      <c r="I27" s="63">
        <v>0.49948315136134602</v>
      </c>
      <c r="J27" s="61">
        <v>0</v>
      </c>
      <c r="K27" s="61">
        <v>0.46363556757569302</v>
      </c>
      <c r="L27" s="61">
        <v>13.037197291850999</v>
      </c>
      <c r="M27" s="61">
        <v>7.3836438357830003</v>
      </c>
      <c r="N27" s="61">
        <v>8.3804468158632503E-2</v>
      </c>
      <c r="O27" s="61">
        <v>0</v>
      </c>
      <c r="P27" s="61">
        <v>0.16823715995997199</v>
      </c>
      <c r="Q27" s="61">
        <v>0</v>
      </c>
      <c r="R27" s="61">
        <v>6.8242624402046204</v>
      </c>
      <c r="S27" s="61">
        <v>0.41418108157813499</v>
      </c>
      <c r="T27" s="64">
        <v>19.237211227416999</v>
      </c>
      <c r="U27" s="61">
        <v>36.056920839473548</v>
      </c>
      <c r="V27" s="61">
        <v>20.884476695209692</v>
      </c>
    </row>
    <row r="28" spans="1:22" x14ac:dyDescent="0.25">
      <c r="A28" s="62" t="s">
        <v>260</v>
      </c>
      <c r="B28" t="s">
        <v>261</v>
      </c>
      <c r="C28">
        <v>8.3960449746188104</v>
      </c>
      <c r="D28" s="61">
        <v>4.8474730647285501E-4</v>
      </c>
      <c r="E28" s="61">
        <v>0</v>
      </c>
      <c r="F28" s="61">
        <v>34.723845124244697</v>
      </c>
      <c r="G28" s="63">
        <v>22.485761344432799</v>
      </c>
      <c r="H28" s="63">
        <v>13.011938333511401</v>
      </c>
      <c r="I28" s="63">
        <v>1.1978236958384501</v>
      </c>
      <c r="J28" s="61">
        <v>0</v>
      </c>
      <c r="K28" s="61">
        <v>2.09423564374447</v>
      </c>
      <c r="L28" s="61">
        <v>10.686980932951</v>
      </c>
      <c r="M28" s="61">
        <v>7.2327435016632098</v>
      </c>
      <c r="N28" s="61">
        <v>4.2877331725321703E-2</v>
      </c>
      <c r="O28" s="61">
        <v>4.2877331725321703E-2</v>
      </c>
      <c r="P28" s="61">
        <v>4.1176661849021903</v>
      </c>
      <c r="Q28" s="61">
        <v>0</v>
      </c>
      <c r="R28" s="61">
        <v>3.0442906543612498</v>
      </c>
      <c r="S28" s="61">
        <v>1.31847802549601</v>
      </c>
      <c r="T28" s="64">
        <v>20.157539367675799</v>
      </c>
      <c r="U28" s="61">
        <v>36.695523373782649</v>
      </c>
      <c r="V28" s="61">
        <v>20.013960078358679</v>
      </c>
    </row>
    <row r="29" spans="1:22" x14ac:dyDescent="0.25">
      <c r="A29" s="62" t="s">
        <v>311</v>
      </c>
      <c r="B29" t="s">
        <v>312</v>
      </c>
      <c r="C29">
        <v>9.2180523326926096</v>
      </c>
      <c r="D29" s="61">
        <v>0</v>
      </c>
      <c r="E29" s="61">
        <v>0</v>
      </c>
      <c r="F29" s="61">
        <v>15.1170983910561</v>
      </c>
      <c r="G29" s="63">
        <v>16.823238134384201</v>
      </c>
      <c r="H29" s="63">
        <v>57.173275947570801</v>
      </c>
      <c r="I29" s="63">
        <v>8.5529230535030401</v>
      </c>
      <c r="J29" s="61">
        <v>0</v>
      </c>
      <c r="K29" s="61">
        <v>0.60533396899700198</v>
      </c>
      <c r="L29" s="61">
        <v>0.107397953979671</v>
      </c>
      <c r="M29" s="61">
        <v>0.72249537333846103</v>
      </c>
      <c r="N29" s="61">
        <v>0</v>
      </c>
      <c r="O29" s="61">
        <v>0</v>
      </c>
      <c r="P29" s="61">
        <v>0</v>
      </c>
      <c r="Q29" s="61">
        <v>0</v>
      </c>
      <c r="R29" s="61">
        <v>0.89823743328452099</v>
      </c>
      <c r="S29" s="61">
        <v>0</v>
      </c>
      <c r="T29" s="64">
        <v>49.990440368652301</v>
      </c>
      <c r="U29" s="61">
        <v>82.549437135458035</v>
      </c>
      <c r="V29" s="61">
        <v>1.435227296315134</v>
      </c>
    </row>
    <row r="30" spans="1:22" x14ac:dyDescent="0.25">
      <c r="A30" s="62" t="s">
        <v>226</v>
      </c>
      <c r="B30" t="s">
        <v>227</v>
      </c>
      <c r="C30">
        <v>10.2207817650712</v>
      </c>
      <c r="D30" s="61">
        <v>0</v>
      </c>
      <c r="E30" s="61">
        <v>0</v>
      </c>
      <c r="F30" s="61">
        <v>20.9300354123116</v>
      </c>
      <c r="G30" s="63">
        <v>43.913343548774698</v>
      </c>
      <c r="H30" s="63">
        <v>29.563665390014599</v>
      </c>
      <c r="I30" s="63">
        <v>3.34938652813435</v>
      </c>
      <c r="J30" s="61">
        <v>0</v>
      </c>
      <c r="K30" s="61">
        <v>0</v>
      </c>
      <c r="L30" s="61">
        <v>1.30137242376804</v>
      </c>
      <c r="M30" s="61">
        <v>0.59878006577491805</v>
      </c>
      <c r="N30" s="61">
        <v>0</v>
      </c>
      <c r="O30" s="61">
        <v>0</v>
      </c>
      <c r="P30" s="61">
        <v>0</v>
      </c>
      <c r="Q30" s="61">
        <v>0</v>
      </c>
      <c r="R30" s="61">
        <v>0.34341795835644001</v>
      </c>
      <c r="S30" s="61">
        <v>0</v>
      </c>
      <c r="T30" s="64">
        <v>38.0432739257812</v>
      </c>
      <c r="U30" s="61">
        <v>76.826395466923643</v>
      </c>
      <c r="V30" s="61">
        <v>1.900152489542958</v>
      </c>
    </row>
    <row r="31" spans="1:22" x14ac:dyDescent="0.25">
      <c r="A31" s="62" t="s">
        <v>366</v>
      </c>
      <c r="B31" t="s">
        <v>367</v>
      </c>
      <c r="C31">
        <v>3.8686165361351001</v>
      </c>
      <c r="D31" s="61">
        <v>0</v>
      </c>
      <c r="E31" s="61">
        <v>0</v>
      </c>
      <c r="F31" s="61">
        <v>11.953017115592999</v>
      </c>
      <c r="G31" s="63">
        <v>27.572554349899299</v>
      </c>
      <c r="H31" s="63">
        <v>47.828161716461203</v>
      </c>
      <c r="I31" s="63">
        <v>6.7490823566913596</v>
      </c>
      <c r="J31" s="61">
        <v>0</v>
      </c>
      <c r="K31" s="61">
        <v>0.67103751935064804</v>
      </c>
      <c r="L31" s="61">
        <v>1.12497098743916</v>
      </c>
      <c r="M31" s="61">
        <v>4.1011758148670197</v>
      </c>
      <c r="N31" s="61">
        <v>0</v>
      </c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4">
        <v>47.698879241943402</v>
      </c>
      <c r="U31" s="61">
        <v>82.149798423051863</v>
      </c>
      <c r="V31" s="61">
        <v>5.8971843216568276</v>
      </c>
    </row>
    <row r="32" spans="1:22" x14ac:dyDescent="0.25">
      <c r="A32" s="62" t="s">
        <v>237</v>
      </c>
      <c r="B32" t="s">
        <v>238</v>
      </c>
      <c r="C32">
        <v>36.152286021789998</v>
      </c>
      <c r="D32" s="61">
        <v>0.53025693632662296</v>
      </c>
      <c r="E32" s="61">
        <v>0</v>
      </c>
      <c r="F32" s="61">
        <v>20.837247371673602</v>
      </c>
      <c r="G32" s="63">
        <v>20.319277048111001</v>
      </c>
      <c r="H32" s="63">
        <v>16.3012504577637</v>
      </c>
      <c r="I32" s="63">
        <v>0.99825840443372704</v>
      </c>
      <c r="J32" s="61">
        <v>9.9578763183671998E-3</v>
      </c>
      <c r="K32" s="61">
        <v>6.3249491155147597</v>
      </c>
      <c r="L32" s="61">
        <v>7.4317477643489802</v>
      </c>
      <c r="M32" s="61">
        <v>23.006589710712401</v>
      </c>
      <c r="N32" s="61">
        <v>6.4726197160780402E-2</v>
      </c>
      <c r="O32" s="61">
        <v>8.7131420150399194E-2</v>
      </c>
      <c r="P32" s="61">
        <v>1.5414478257298501</v>
      </c>
      <c r="Q32" s="61">
        <v>0</v>
      </c>
      <c r="R32" s="61">
        <v>1.36907640844584</v>
      </c>
      <c r="S32" s="61">
        <v>1.17808440700173</v>
      </c>
      <c r="T32" s="64">
        <v>19.869703292846701</v>
      </c>
      <c r="U32" s="61">
        <v>37.618785910308432</v>
      </c>
      <c r="V32" s="61">
        <v>36.763286590576143</v>
      </c>
    </row>
    <row r="33" spans="1:22" x14ac:dyDescent="0.25">
      <c r="A33" s="62" t="s">
        <v>232</v>
      </c>
      <c r="B33" t="s">
        <v>233</v>
      </c>
      <c r="C33">
        <v>21.3984103475239</v>
      </c>
      <c r="D33" s="61">
        <v>2.0440770313143699</v>
      </c>
      <c r="E33" s="61">
        <v>0</v>
      </c>
      <c r="F33" s="61">
        <v>14.8607611656189</v>
      </c>
      <c r="G33" s="63">
        <v>34.959715604782097</v>
      </c>
      <c r="H33" s="63">
        <v>36.725074052810697</v>
      </c>
      <c r="I33" s="63">
        <v>10.8215421438217</v>
      </c>
      <c r="J33" s="61">
        <v>0</v>
      </c>
      <c r="K33" s="61">
        <v>0</v>
      </c>
      <c r="L33" s="61">
        <v>0.15561903128400401</v>
      </c>
      <c r="M33" s="61">
        <v>0.22711968049407</v>
      </c>
      <c r="N33" s="61">
        <v>0</v>
      </c>
      <c r="O33" s="61">
        <v>0</v>
      </c>
      <c r="P33" s="61">
        <v>0</v>
      </c>
      <c r="Q33" s="61">
        <v>0</v>
      </c>
      <c r="R33" s="61">
        <v>0.14720719773322299</v>
      </c>
      <c r="S33" s="61">
        <v>5.88828756008297E-2</v>
      </c>
      <c r="T33" s="64">
        <v>46.454967498779297</v>
      </c>
      <c r="U33" s="61">
        <v>82.506331801414504</v>
      </c>
      <c r="V33" s="61">
        <v>0.382738711778074</v>
      </c>
    </row>
    <row r="34" spans="1:22" x14ac:dyDescent="0.25">
      <c r="A34" s="62" t="s">
        <v>96</v>
      </c>
      <c r="B34" t="s">
        <v>430</v>
      </c>
      <c r="C34">
        <v>5.7290877797160604</v>
      </c>
      <c r="D34" s="61">
        <v>0</v>
      </c>
      <c r="E34" s="61">
        <v>0</v>
      </c>
      <c r="F34" s="61">
        <v>19.429972767829899</v>
      </c>
      <c r="G34" s="63">
        <v>26.5132397413254</v>
      </c>
      <c r="H34" s="63">
        <v>39.464044570922901</v>
      </c>
      <c r="I34" s="63">
        <v>9.7555890679359401</v>
      </c>
      <c r="J34" s="61">
        <v>0</v>
      </c>
      <c r="K34" s="61">
        <v>0.85647329688072205</v>
      </c>
      <c r="L34" s="61">
        <v>0.93307364732027098</v>
      </c>
      <c r="M34" s="61">
        <v>2.4506518617272399</v>
      </c>
      <c r="N34" s="61">
        <v>0</v>
      </c>
      <c r="O34" s="61">
        <v>0</v>
      </c>
      <c r="P34" s="61">
        <v>0</v>
      </c>
      <c r="Q34" s="61">
        <v>0</v>
      </c>
      <c r="R34" s="61">
        <v>0.59695364907383897</v>
      </c>
      <c r="S34" s="61">
        <v>0</v>
      </c>
      <c r="T34" s="64">
        <v>44.697330474853501</v>
      </c>
      <c r="U34" s="61">
        <v>75.732873380184245</v>
      </c>
      <c r="V34" s="61">
        <v>4.240198805928233</v>
      </c>
    </row>
    <row r="35" spans="1:22" x14ac:dyDescent="0.25">
      <c r="A35" s="62" t="s">
        <v>241</v>
      </c>
      <c r="B35" t="s">
        <v>242</v>
      </c>
      <c r="C35">
        <v>18.579458523314401</v>
      </c>
      <c r="D35" s="61">
        <v>0.83802221342921301</v>
      </c>
      <c r="E35" s="61">
        <v>0</v>
      </c>
      <c r="F35" s="61">
        <v>11.9934052228928</v>
      </c>
      <c r="G35" s="63">
        <v>29.011833667755099</v>
      </c>
      <c r="H35" s="63">
        <v>43.693462014198303</v>
      </c>
      <c r="I35" s="63">
        <v>13.5366693139076</v>
      </c>
      <c r="J35" s="61">
        <v>0</v>
      </c>
      <c r="K35" s="61">
        <v>0.156686699483544</v>
      </c>
      <c r="L35" s="61">
        <v>4.8440590035170299E-3</v>
      </c>
      <c r="M35" s="61">
        <v>0.36937012337148201</v>
      </c>
      <c r="N35" s="61">
        <v>0</v>
      </c>
      <c r="O35" s="61">
        <v>0</v>
      </c>
      <c r="P35" s="61">
        <v>0</v>
      </c>
      <c r="Q35" s="61">
        <v>0</v>
      </c>
      <c r="R35" s="61">
        <v>0.39570098742842702</v>
      </c>
      <c r="S35" s="61">
        <v>0</v>
      </c>
      <c r="T35" s="64">
        <v>50.339157104492202</v>
      </c>
      <c r="U35" s="61">
        <v>86.241964995860997</v>
      </c>
      <c r="V35" s="61">
        <v>0.53090088185854301</v>
      </c>
    </row>
    <row r="36" spans="1:22" x14ac:dyDescent="0.25">
      <c r="A36" s="62" t="s">
        <v>371</v>
      </c>
      <c r="B36" t="s">
        <v>372</v>
      </c>
      <c r="C36">
        <v>4.6245957437989302</v>
      </c>
      <c r="D36" s="61">
        <v>0</v>
      </c>
      <c r="E36" s="61">
        <v>0</v>
      </c>
      <c r="F36" s="61">
        <v>24.0820094943047</v>
      </c>
      <c r="G36" s="63">
        <v>26.612105965614301</v>
      </c>
      <c r="H36" s="63">
        <v>27.771651744842501</v>
      </c>
      <c r="I36" s="63">
        <v>3.3474817872047402</v>
      </c>
      <c r="J36" s="61">
        <v>0</v>
      </c>
      <c r="K36" s="61">
        <v>1.4400953426957099</v>
      </c>
      <c r="L36" s="61">
        <v>4.2780444025993303</v>
      </c>
      <c r="M36" s="61">
        <v>7.4499316513538396</v>
      </c>
      <c r="N36" s="61">
        <v>9.7305799135938301E-2</v>
      </c>
      <c r="O36" s="61">
        <v>0</v>
      </c>
      <c r="P36" s="61">
        <v>0</v>
      </c>
      <c r="Q36" s="61">
        <v>0</v>
      </c>
      <c r="R36" s="61">
        <v>4.85814772546291</v>
      </c>
      <c r="S36" s="61">
        <v>6.3220475567504805E-2</v>
      </c>
      <c r="T36" s="64">
        <v>31.440233230590799</v>
      </c>
      <c r="U36" s="61">
        <v>57.731239497661548</v>
      </c>
      <c r="V36" s="61">
        <v>13.16807139664888</v>
      </c>
    </row>
    <row r="37" spans="1:22" x14ac:dyDescent="0.25">
      <c r="A37" s="62" t="s">
        <v>255</v>
      </c>
      <c r="B37" t="s">
        <v>256</v>
      </c>
      <c r="C37">
        <v>69.384772948851094</v>
      </c>
      <c r="D37" s="61">
        <v>0.66931108012795404</v>
      </c>
      <c r="E37" s="61">
        <v>0</v>
      </c>
      <c r="F37" s="61">
        <v>17.895619571209</v>
      </c>
      <c r="G37" s="63">
        <v>29.7491759061813</v>
      </c>
      <c r="H37" s="63">
        <v>37.107130885124199</v>
      </c>
      <c r="I37" s="63">
        <v>7.1564473211765298</v>
      </c>
      <c r="J37" s="61">
        <v>0</v>
      </c>
      <c r="K37" s="61">
        <v>0.27021004352718597</v>
      </c>
      <c r="L37" s="61">
        <v>1.19617432355881</v>
      </c>
      <c r="M37" s="61">
        <v>1.25299729406834</v>
      </c>
      <c r="N37" s="61">
        <v>1.5484320101677401E-3</v>
      </c>
      <c r="O37" s="61">
        <v>0</v>
      </c>
      <c r="P37" s="61">
        <v>1.7910618043970299E-2</v>
      </c>
      <c r="Q37" s="61">
        <v>0</v>
      </c>
      <c r="R37" s="61">
        <v>3.0906168743968001</v>
      </c>
      <c r="S37" s="61">
        <v>1.59285664558411</v>
      </c>
      <c r="T37" s="64">
        <v>42.0156440734863</v>
      </c>
      <c r="U37" s="61">
        <v>74.012754112482028</v>
      </c>
      <c r="V37" s="61">
        <v>2.719381661154336</v>
      </c>
    </row>
    <row r="38" spans="1:22" x14ac:dyDescent="0.25">
      <c r="A38" s="62" t="s">
        <v>403</v>
      </c>
      <c r="B38" t="s">
        <v>404</v>
      </c>
      <c r="C38">
        <v>4.5450014075576304</v>
      </c>
      <c r="D38" s="61">
        <v>1.98019741219468E-2</v>
      </c>
      <c r="E38" s="61">
        <v>0</v>
      </c>
      <c r="F38" s="61">
        <v>34.139990806579597</v>
      </c>
      <c r="G38" s="63">
        <v>24.8458936810494</v>
      </c>
      <c r="H38" s="63">
        <v>21.3758006691933</v>
      </c>
      <c r="I38" s="63">
        <v>1.56131936237216</v>
      </c>
      <c r="J38" s="61">
        <v>0</v>
      </c>
      <c r="K38" s="61">
        <v>4.0990088135003999</v>
      </c>
      <c r="L38" s="61">
        <v>0.76758000068366505</v>
      </c>
      <c r="M38" s="61">
        <v>5.9628833085298503</v>
      </c>
      <c r="N38" s="61">
        <v>0</v>
      </c>
      <c r="O38" s="61">
        <v>0</v>
      </c>
      <c r="P38" s="61">
        <v>1.7425738275051099</v>
      </c>
      <c r="Q38" s="61">
        <v>0</v>
      </c>
      <c r="R38" s="61">
        <v>2.5544546544551801</v>
      </c>
      <c r="S38" s="61">
        <v>2.9306922107935001</v>
      </c>
      <c r="T38" s="64">
        <v>26.596687316894499</v>
      </c>
      <c r="U38" s="61">
        <v>47.78301371261486</v>
      </c>
      <c r="V38" s="61">
        <v>10.829472122713916</v>
      </c>
    </row>
    <row r="39" spans="1:22" x14ac:dyDescent="0.25">
      <c r="A39" s="62" t="s">
        <v>346</v>
      </c>
      <c r="B39" t="s">
        <v>347</v>
      </c>
      <c r="C39">
        <v>39.518710073950103</v>
      </c>
      <c r="D39" s="61">
        <v>2.5051424745470299E-2</v>
      </c>
      <c r="E39" s="61">
        <v>0</v>
      </c>
      <c r="F39" s="61">
        <v>20.097509026527401</v>
      </c>
      <c r="G39" s="63">
        <v>11.4748239517212</v>
      </c>
      <c r="H39" s="63">
        <v>4.55170758068562</v>
      </c>
      <c r="I39" s="63">
        <v>4.5832080650143298E-2</v>
      </c>
      <c r="J39" s="61">
        <v>0</v>
      </c>
      <c r="K39" s="61">
        <v>12.974481284618401</v>
      </c>
      <c r="L39" s="61">
        <v>11.055861413478899</v>
      </c>
      <c r="M39" s="61">
        <v>29.593291878700299</v>
      </c>
      <c r="N39" s="61">
        <v>0.19644927233457599</v>
      </c>
      <c r="O39" s="61">
        <v>0.206480990163982</v>
      </c>
      <c r="P39" s="61">
        <v>2.4559635668993001</v>
      </c>
      <c r="Q39" s="61">
        <v>0</v>
      </c>
      <c r="R39" s="61">
        <v>4.4644095003604898</v>
      </c>
      <c r="S39" s="61">
        <v>2.8581311926245698</v>
      </c>
      <c r="T39" s="64">
        <v>8.3620071411132795</v>
      </c>
      <c r="U39" s="61">
        <v>16.072363613056964</v>
      </c>
      <c r="V39" s="61">
        <v>53.623634576797599</v>
      </c>
    </row>
    <row r="40" spans="1:22" x14ac:dyDescent="0.25">
      <c r="A40" s="62" t="s">
        <v>380</v>
      </c>
      <c r="B40" t="s">
        <v>381</v>
      </c>
      <c r="C40">
        <v>5.0227611754675197</v>
      </c>
      <c r="D40" s="61">
        <v>6.1639402061700803</v>
      </c>
      <c r="E40" s="61">
        <v>0</v>
      </c>
      <c r="F40" s="61">
        <v>34.692233800888097</v>
      </c>
      <c r="G40" s="63">
        <v>24.921637773513801</v>
      </c>
      <c r="H40" s="63">
        <v>10.418414324522001</v>
      </c>
      <c r="I40" s="63">
        <v>0.308596901595592</v>
      </c>
      <c r="J40" s="61">
        <v>0</v>
      </c>
      <c r="K40" s="61">
        <v>0.60620578005909898</v>
      </c>
      <c r="L40" s="61">
        <v>4.9298785626888302</v>
      </c>
      <c r="M40" s="61">
        <v>12.7030730247498</v>
      </c>
      <c r="N40" s="61">
        <v>0</v>
      </c>
      <c r="O40" s="61">
        <v>0</v>
      </c>
      <c r="P40" s="61">
        <v>0.931758433580399</v>
      </c>
      <c r="Q40" s="61">
        <v>0</v>
      </c>
      <c r="R40" s="61">
        <v>2.7295198291540101</v>
      </c>
      <c r="S40" s="61">
        <v>1.5947403386235199</v>
      </c>
      <c r="T40" s="64">
        <v>18.458576202392599</v>
      </c>
      <c r="U40" s="61">
        <v>35.648648999631391</v>
      </c>
      <c r="V40" s="61">
        <v>18.239157367497729</v>
      </c>
    </row>
    <row r="41" spans="1:22" x14ac:dyDescent="0.25">
      <c r="A41" s="62" t="s">
        <v>299</v>
      </c>
      <c r="B41" t="s">
        <v>300</v>
      </c>
      <c r="C41">
        <v>7.2169689114037299</v>
      </c>
      <c r="D41" s="61">
        <v>0</v>
      </c>
      <c r="E41" s="61">
        <v>0</v>
      </c>
      <c r="F41" s="61">
        <v>6.6797614097595197</v>
      </c>
      <c r="G41" s="63">
        <v>23.874329030513799</v>
      </c>
      <c r="H41" s="63">
        <v>56.2903344631195</v>
      </c>
      <c r="I41" s="63">
        <v>6.8378612399101302</v>
      </c>
      <c r="J41" s="61">
        <v>0</v>
      </c>
      <c r="K41" s="61">
        <v>0.174588523805141</v>
      </c>
      <c r="L41" s="61">
        <v>0.162117916624993</v>
      </c>
      <c r="M41" s="61">
        <v>3.5492401570081702</v>
      </c>
      <c r="N41" s="61">
        <v>0</v>
      </c>
      <c r="O41" s="61">
        <v>0</v>
      </c>
      <c r="P41" s="61">
        <v>0</v>
      </c>
      <c r="Q41" s="61">
        <v>0</v>
      </c>
      <c r="R41" s="61">
        <v>2.4317687377333601</v>
      </c>
      <c r="S41" s="61">
        <v>0</v>
      </c>
      <c r="T41" s="64">
        <v>50.016532897949197</v>
      </c>
      <c r="U41" s="61">
        <v>87.002524733543424</v>
      </c>
      <c r="V41" s="61">
        <v>3.8859465974383043</v>
      </c>
    </row>
    <row r="42" spans="1:22" x14ac:dyDescent="0.25">
      <c r="A42" s="62" t="s">
        <v>139</v>
      </c>
      <c r="B42" t="s">
        <v>140</v>
      </c>
      <c r="C42">
        <v>8.42564644135539</v>
      </c>
      <c r="D42" s="61">
        <v>0.99339559674263</v>
      </c>
      <c r="E42" s="61">
        <v>0</v>
      </c>
      <c r="F42" s="61">
        <v>5.5407732725143397</v>
      </c>
      <c r="G42" s="63">
        <v>5.8630324900150299</v>
      </c>
      <c r="H42" s="63">
        <v>5.8848947286605799</v>
      </c>
      <c r="I42" s="63">
        <v>0.26356088928878302</v>
      </c>
      <c r="J42" s="61">
        <v>1.3086635619401901</v>
      </c>
      <c r="K42" s="61">
        <v>2.40694973617792</v>
      </c>
      <c r="L42" s="61">
        <v>51.3145208358765</v>
      </c>
      <c r="M42" s="61">
        <v>8.0879822373390198</v>
      </c>
      <c r="N42" s="61">
        <v>9.0159133076667803</v>
      </c>
      <c r="O42" s="61">
        <v>2.6638250797987002</v>
      </c>
      <c r="P42" s="61">
        <v>1.32312942296267</v>
      </c>
      <c r="Q42" s="61">
        <v>0</v>
      </c>
      <c r="R42" s="61">
        <v>5.1838207989931098</v>
      </c>
      <c r="S42" s="61">
        <v>0.14954343205317899</v>
      </c>
      <c r="T42" s="64">
        <v>6.51253461837769</v>
      </c>
      <c r="U42" s="61">
        <v>12.011488107964393</v>
      </c>
      <c r="V42" s="61">
        <v>61.809452809393441</v>
      </c>
    </row>
    <row r="43" spans="1:22" x14ac:dyDescent="0.25">
      <c r="A43" s="62" t="s">
        <v>104</v>
      </c>
      <c r="B43" t="s">
        <v>105</v>
      </c>
      <c r="C43">
        <v>39.322532116401099</v>
      </c>
      <c r="D43" s="61">
        <v>0.85370903834700596</v>
      </c>
      <c r="E43" s="61">
        <v>0</v>
      </c>
      <c r="F43" s="61">
        <v>9.0941838920116407</v>
      </c>
      <c r="G43" s="63">
        <v>6.08589388430119</v>
      </c>
      <c r="H43" s="63">
        <v>2.2055603563785602</v>
      </c>
      <c r="I43" s="63">
        <v>0.32831390853971198</v>
      </c>
      <c r="J43" s="61">
        <v>0.91829700395464897</v>
      </c>
      <c r="K43" s="61">
        <v>1.6431147232651699</v>
      </c>
      <c r="L43" s="61">
        <v>55.974155664443998</v>
      </c>
      <c r="M43" s="61">
        <v>11.097826063633001</v>
      </c>
      <c r="N43" s="61">
        <v>5.9491146355867404</v>
      </c>
      <c r="O43" s="61">
        <v>2.80225556343794</v>
      </c>
      <c r="P43" s="61">
        <v>0.80779949203133605</v>
      </c>
      <c r="Q43" s="61">
        <v>0</v>
      </c>
      <c r="R43" s="61">
        <v>2.2306153550744101</v>
      </c>
      <c r="S43" s="61">
        <v>9.1550566139631008E-3</v>
      </c>
      <c r="T43" s="64">
        <v>4.5569114685058603</v>
      </c>
      <c r="U43" s="61">
        <v>8.6197681492194622</v>
      </c>
      <c r="V43" s="61">
        <v>68.715096451342163</v>
      </c>
    </row>
    <row r="44" spans="1:22" x14ac:dyDescent="0.25">
      <c r="A44" s="62" t="s">
        <v>248</v>
      </c>
      <c r="B44" t="s">
        <v>249</v>
      </c>
      <c r="C44">
        <v>7.9610711556714699</v>
      </c>
      <c r="D44" s="61">
        <v>0</v>
      </c>
      <c r="E44" s="61">
        <v>0</v>
      </c>
      <c r="F44" s="61">
        <v>24.426481127738999</v>
      </c>
      <c r="G44" s="63">
        <v>7.2562053799629203</v>
      </c>
      <c r="H44" s="63">
        <v>1.5517559833824599</v>
      </c>
      <c r="I44" s="63">
        <v>0.59542427770793405</v>
      </c>
      <c r="J44" s="61">
        <v>0</v>
      </c>
      <c r="K44" s="61">
        <v>7.51952901482582</v>
      </c>
      <c r="L44" s="61">
        <v>15.6778812408447</v>
      </c>
      <c r="M44" s="61">
        <v>32.290542125701897</v>
      </c>
      <c r="N44" s="61">
        <v>0.18088017823174601</v>
      </c>
      <c r="O44" s="61">
        <v>0</v>
      </c>
      <c r="P44" s="61">
        <v>8.2288168370723707</v>
      </c>
      <c r="Q44" s="61">
        <v>0</v>
      </c>
      <c r="R44" s="61">
        <v>1.79767422378063</v>
      </c>
      <c r="S44" s="61">
        <v>0.47481046058237503</v>
      </c>
      <c r="T44" s="64">
        <v>6.1117019653320304</v>
      </c>
      <c r="U44" s="61">
        <v>9.4033856410533154</v>
      </c>
      <c r="V44" s="61">
        <v>55.487952381372416</v>
      </c>
    </row>
    <row r="45" spans="1:22" x14ac:dyDescent="0.25">
      <c r="A45" s="62" t="s">
        <v>86</v>
      </c>
      <c r="B45" t="s">
        <v>87</v>
      </c>
      <c r="C45">
        <v>170.06021159650899</v>
      </c>
      <c r="D45" s="61">
        <v>1.7813943326473201</v>
      </c>
      <c r="E45" s="61">
        <v>0</v>
      </c>
      <c r="F45" s="61">
        <v>25.000482797622698</v>
      </c>
      <c r="G45" s="63">
        <v>22.766776382923101</v>
      </c>
      <c r="H45" s="63">
        <v>15.801335871219599</v>
      </c>
      <c r="I45" s="63">
        <v>1.5041369013488299</v>
      </c>
      <c r="J45" s="61">
        <v>0.85518658161163297</v>
      </c>
      <c r="K45" s="61">
        <v>2.9914470389485399</v>
      </c>
      <c r="L45" s="61">
        <v>12.663985788822201</v>
      </c>
      <c r="M45" s="61">
        <v>7.8758127987384796</v>
      </c>
      <c r="N45" s="61">
        <v>1.2800152413546999</v>
      </c>
      <c r="O45" s="61">
        <v>0.41780415922403302</v>
      </c>
      <c r="P45" s="61">
        <v>2.0575117319822298</v>
      </c>
      <c r="Q45" s="61">
        <v>1.05844865174731E-3</v>
      </c>
      <c r="R45" s="61">
        <v>3.9293851703405398</v>
      </c>
      <c r="S45" s="61">
        <v>1.0736646130681</v>
      </c>
      <c r="T45" s="64">
        <v>21.300235748291001</v>
      </c>
      <c r="U45" s="61">
        <v>40.072249155491534</v>
      </c>
      <c r="V45" s="61">
        <v>23.531245626509218</v>
      </c>
    </row>
    <row r="46" spans="1:22" x14ac:dyDescent="0.25">
      <c r="A46" s="62" t="s">
        <v>394</v>
      </c>
      <c r="B46" t="s">
        <v>395</v>
      </c>
      <c r="C46">
        <v>55.634334471278898</v>
      </c>
      <c r="D46" s="61">
        <v>0.52090138196945202</v>
      </c>
      <c r="E46" s="61">
        <v>0</v>
      </c>
      <c r="F46" s="61">
        <v>16.0942673683167</v>
      </c>
      <c r="G46" s="63">
        <v>27.588209509849499</v>
      </c>
      <c r="H46" s="63">
        <v>38.043856620788603</v>
      </c>
      <c r="I46" s="63">
        <v>13.4663358330727</v>
      </c>
      <c r="J46" s="61">
        <v>0</v>
      </c>
      <c r="K46" s="61">
        <v>0.329490168951452</v>
      </c>
      <c r="L46" s="61">
        <v>0.446520745754242</v>
      </c>
      <c r="M46" s="61">
        <v>0.49501806497573902</v>
      </c>
      <c r="N46" s="61">
        <v>0</v>
      </c>
      <c r="O46" s="61">
        <v>0</v>
      </c>
      <c r="P46" s="61">
        <v>1.6177060388145E-3</v>
      </c>
      <c r="Q46" s="61">
        <v>0</v>
      </c>
      <c r="R46" s="61">
        <v>2.8455479070544198</v>
      </c>
      <c r="S46" s="61">
        <v>0.16824143240228301</v>
      </c>
      <c r="T46" s="64">
        <v>47.128700256347699</v>
      </c>
      <c r="U46" s="61">
        <v>79.098401963710799</v>
      </c>
      <c r="V46" s="61">
        <v>1.2710289796814329</v>
      </c>
    </row>
    <row r="47" spans="1:22" x14ac:dyDescent="0.25">
      <c r="A47" s="62" t="s">
        <v>289</v>
      </c>
      <c r="B47" t="s">
        <v>431</v>
      </c>
      <c r="C47">
        <v>3.2219157519901001</v>
      </c>
      <c r="D47" s="61">
        <v>0</v>
      </c>
      <c r="E47" s="61">
        <v>0</v>
      </c>
      <c r="F47" s="61">
        <v>10.354010760784099</v>
      </c>
      <c r="G47" s="63">
        <v>1.44877964630723</v>
      </c>
      <c r="H47" s="63">
        <v>5.5867381161078797E-2</v>
      </c>
      <c r="I47" s="63">
        <v>0</v>
      </c>
      <c r="J47" s="61">
        <v>0</v>
      </c>
      <c r="K47" s="61">
        <v>3.30073721706867</v>
      </c>
      <c r="L47" s="61">
        <v>57.812720537185697</v>
      </c>
      <c r="M47" s="61">
        <v>26.181533932685898</v>
      </c>
      <c r="N47" s="61">
        <v>0.14730800176039299</v>
      </c>
      <c r="O47" s="61">
        <v>0.14036432839930099</v>
      </c>
      <c r="P47" s="61">
        <v>0.50280643627047505</v>
      </c>
      <c r="Q47" s="61">
        <v>0</v>
      </c>
      <c r="R47" s="61">
        <v>5.5867381161078797E-2</v>
      </c>
      <c r="S47" s="61">
        <v>0</v>
      </c>
      <c r="T47" s="64">
        <v>1.4255963563919101</v>
      </c>
      <c r="U47" s="61">
        <v>1.5046470274683088</v>
      </c>
      <c r="V47" s="61">
        <v>87.294991686940264</v>
      </c>
    </row>
    <row r="48" spans="1:22" x14ac:dyDescent="0.25">
      <c r="A48" s="62" t="s">
        <v>398</v>
      </c>
      <c r="B48" t="s">
        <v>432</v>
      </c>
      <c r="C48">
        <v>2.6675475515852001</v>
      </c>
      <c r="D48" s="61">
        <v>0</v>
      </c>
      <c r="E48" s="61">
        <v>0</v>
      </c>
      <c r="F48" s="61">
        <v>16.664126515388499</v>
      </c>
      <c r="G48" s="63">
        <v>26.762482523918202</v>
      </c>
      <c r="H48" s="63">
        <v>47.806122899055502</v>
      </c>
      <c r="I48" s="63">
        <v>3.7497092038392998</v>
      </c>
      <c r="J48" s="61">
        <v>0</v>
      </c>
      <c r="K48" s="61">
        <v>1.06672029942274</v>
      </c>
      <c r="L48" s="61">
        <v>0</v>
      </c>
      <c r="M48" s="61">
        <v>1.285470277071</v>
      </c>
      <c r="N48" s="61">
        <v>0</v>
      </c>
      <c r="O48" s="61">
        <v>0</v>
      </c>
      <c r="P48" s="61">
        <v>0</v>
      </c>
      <c r="Q48" s="61">
        <v>0</v>
      </c>
      <c r="R48" s="61">
        <v>2.5641530752181998</v>
      </c>
      <c r="S48" s="61">
        <v>0.10121656814590101</v>
      </c>
      <c r="T48" s="64">
        <v>43.120925903320298</v>
      </c>
      <c r="U48" s="61">
        <v>78.318314626813006</v>
      </c>
      <c r="V48" s="61">
        <v>2.3521905764937401</v>
      </c>
    </row>
    <row r="49" spans="1:22" x14ac:dyDescent="0.25">
      <c r="A49" s="62" t="s">
        <v>266</v>
      </c>
      <c r="B49" t="s">
        <v>267</v>
      </c>
      <c r="C49">
        <v>27.4073630973656</v>
      </c>
      <c r="D49" s="61">
        <v>3.9405468851327903E-2</v>
      </c>
      <c r="E49" s="61">
        <v>0</v>
      </c>
      <c r="F49" s="61">
        <v>7.7585771679878199</v>
      </c>
      <c r="G49" s="63">
        <v>39.371702075004599</v>
      </c>
      <c r="H49" s="63">
        <v>41.988834738731398</v>
      </c>
      <c r="I49" s="63">
        <v>9.8661966621875798</v>
      </c>
      <c r="J49" s="61">
        <v>0</v>
      </c>
      <c r="K49" s="61">
        <v>0</v>
      </c>
      <c r="L49" s="61">
        <v>0.82094725221395504</v>
      </c>
      <c r="M49" s="61">
        <v>0</v>
      </c>
      <c r="N49" s="61">
        <v>0</v>
      </c>
      <c r="O49" s="61">
        <v>0</v>
      </c>
      <c r="P49" s="61">
        <v>0</v>
      </c>
      <c r="Q49" s="61">
        <v>0</v>
      </c>
      <c r="R49" s="61">
        <v>0.15433809021487799</v>
      </c>
      <c r="S49" s="61">
        <v>0</v>
      </c>
      <c r="T49" s="64">
        <v>49.6357612609863</v>
      </c>
      <c r="U49" s="61">
        <v>91.226733475923567</v>
      </c>
      <c r="V49" s="61">
        <v>0.82094725221395504</v>
      </c>
    </row>
    <row r="50" spans="1:22" x14ac:dyDescent="0.25">
      <c r="A50" s="62" t="s">
        <v>375</v>
      </c>
      <c r="B50" t="s">
        <v>376</v>
      </c>
      <c r="C50">
        <v>5.2050236482828298</v>
      </c>
      <c r="D50" s="61">
        <v>0</v>
      </c>
      <c r="E50" s="61">
        <v>0</v>
      </c>
      <c r="F50" s="61">
        <v>20.396554470062298</v>
      </c>
      <c r="G50" s="63">
        <v>46.099996566772496</v>
      </c>
      <c r="H50" s="63">
        <v>25.483673810958901</v>
      </c>
      <c r="I50" s="63">
        <v>5.7288262993097296</v>
      </c>
      <c r="J50" s="61">
        <v>0</v>
      </c>
      <c r="K50" s="61">
        <v>5.1872967742383501E-2</v>
      </c>
      <c r="L50" s="61">
        <v>0.81258816644549403</v>
      </c>
      <c r="M50" s="61">
        <v>1.4264892786741299</v>
      </c>
      <c r="N50" s="61">
        <v>0</v>
      </c>
      <c r="O50" s="61">
        <v>0</v>
      </c>
      <c r="P50" s="61">
        <v>0</v>
      </c>
      <c r="Q50" s="61">
        <v>0</v>
      </c>
      <c r="R50" s="61">
        <v>0</v>
      </c>
      <c r="S50" s="61">
        <v>0</v>
      </c>
      <c r="T50" s="64">
        <v>39.1348686218262</v>
      </c>
      <c r="U50" s="61">
        <v>77.312496677041125</v>
      </c>
      <c r="V50" s="61">
        <v>2.2909504128620073</v>
      </c>
    </row>
    <row r="51" spans="1:22" x14ac:dyDescent="0.25">
      <c r="A51" s="62" t="s">
        <v>341</v>
      </c>
      <c r="B51" t="s">
        <v>342</v>
      </c>
      <c r="C51">
        <v>1.59326681790453</v>
      </c>
      <c r="D51" s="61">
        <v>0</v>
      </c>
      <c r="E51" s="61">
        <v>0</v>
      </c>
      <c r="F51" s="61">
        <v>5.1977973431348801</v>
      </c>
      <c r="G51" s="63">
        <v>32.978612184524501</v>
      </c>
      <c r="H51" s="63">
        <v>52.213913202285802</v>
      </c>
      <c r="I51" s="63">
        <v>3.51741202175617</v>
      </c>
      <c r="J51" s="61">
        <v>0</v>
      </c>
      <c r="K51" s="61">
        <v>0</v>
      </c>
      <c r="L51" s="61">
        <v>0.33398494124412498</v>
      </c>
      <c r="M51" s="61">
        <v>0.56552868336439099</v>
      </c>
      <c r="N51" s="61">
        <v>0</v>
      </c>
      <c r="O51" s="61">
        <v>0</v>
      </c>
      <c r="P51" s="61">
        <v>0</v>
      </c>
      <c r="Q51" s="61">
        <v>0</v>
      </c>
      <c r="R51" s="61">
        <v>5.19275330007076</v>
      </c>
      <c r="S51" s="61">
        <v>0</v>
      </c>
      <c r="T51" s="64">
        <v>47.5797309875488</v>
      </c>
      <c r="U51" s="61">
        <v>88.709937408566475</v>
      </c>
      <c r="V51" s="61">
        <v>0.89951362460851603</v>
      </c>
    </row>
    <row r="52" spans="1:22" x14ac:dyDescent="0.25">
      <c r="A52" s="62" t="s">
        <v>157</v>
      </c>
      <c r="B52" t="s">
        <v>158</v>
      </c>
      <c r="C52">
        <v>0.81405381620832695</v>
      </c>
      <c r="D52" s="61">
        <v>0</v>
      </c>
      <c r="E52" s="61">
        <v>0</v>
      </c>
      <c r="F52" s="61">
        <v>36.693078279495197</v>
      </c>
      <c r="G52" s="63">
        <v>34.100234508514397</v>
      </c>
      <c r="H52" s="63">
        <v>12.084352225065199</v>
      </c>
      <c r="I52" s="63">
        <v>0</v>
      </c>
      <c r="J52" s="61">
        <v>0</v>
      </c>
      <c r="K52" s="61">
        <v>0.55278902873396896</v>
      </c>
      <c r="L52" s="61">
        <v>6.7300975322723398</v>
      </c>
      <c r="M52" s="61">
        <v>8.1810832023620605</v>
      </c>
      <c r="N52" s="61">
        <v>0</v>
      </c>
      <c r="O52" s="61">
        <v>0</v>
      </c>
      <c r="P52" s="61">
        <v>0</v>
      </c>
      <c r="Q52" s="61">
        <v>0</v>
      </c>
      <c r="R52" s="61">
        <v>1.6583669930696501</v>
      </c>
      <c r="S52" s="61">
        <v>0</v>
      </c>
      <c r="T52" s="64">
        <v>22.382097244262699</v>
      </c>
      <c r="U52" s="61">
        <v>46.184586733579593</v>
      </c>
      <c r="V52" s="61">
        <v>15.463969763368368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44FC1D64D05459BEA9379DD395762" ma:contentTypeVersion="15" ma:contentTypeDescription="Create a new document." ma:contentTypeScope="" ma:versionID="f999d8b39c0cf925a3efe34bf2b016e6">
  <xsd:schema xmlns:xsd="http://www.w3.org/2001/XMLSchema" xmlns:xs="http://www.w3.org/2001/XMLSchema" xmlns:p="http://schemas.microsoft.com/office/2006/metadata/properties" xmlns:ns2="26b68ce9-53aa-46f6-a3a3-ca39d8e60535" xmlns:ns3="2beaef9f-cf1f-479f-a374-c737fe2c05cb" targetNamespace="http://schemas.microsoft.com/office/2006/metadata/properties" ma:root="true" ma:fieldsID="f800c502fd3371948d7dc5e52855db09" ns2:_="" ns3:_="">
    <xsd:import namespace="26b68ce9-53aa-46f6-a3a3-ca39d8e60535"/>
    <xsd:import namespace="2beaef9f-cf1f-479f-a374-c737fe2c0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b68ce9-53aa-46f6-a3a3-ca39d8e60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87192d8-99aa-4f2d-82ad-d3af49b78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aef9f-cf1f-479f-a374-c737fe2c05c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6a8e516-7535-4bea-a3ff-d6ae34e46194}" ma:internalName="TaxCatchAll" ma:showField="CatchAllData" ma:web="e6a2dc5e-ce38-4e62-a367-6d84359168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b68ce9-53aa-46f6-a3a3-ca39d8e60535">
      <Terms xmlns="http://schemas.microsoft.com/office/infopath/2007/PartnerControls"/>
    </lcf76f155ced4ddcb4097134ff3c332f>
    <TaxCatchAll xmlns="2beaef9f-cf1f-479f-a374-c737fe2c05cb" xsi:nil="true"/>
  </documentManagement>
</p:properties>
</file>

<file path=customXml/itemProps1.xml><?xml version="1.0" encoding="utf-8"?>
<ds:datastoreItem xmlns:ds="http://schemas.openxmlformats.org/officeDocument/2006/customXml" ds:itemID="{8724F6DE-30FF-4991-A308-9844DD1A21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27BA73-A2EF-482F-A2C1-FAB32A04B5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b68ce9-53aa-46f6-a3a3-ca39d8e60535"/>
    <ds:schemaRef ds:uri="2beaef9f-cf1f-479f-a374-c737fe2c05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79DF52-5142-432A-B32A-A53C609CBF17}">
  <ds:schemaRefs>
    <ds:schemaRef ds:uri="http://schemas.microsoft.com/office/2006/metadata/properties"/>
    <ds:schemaRef ds:uri="http://schemas.microsoft.com/office/infopath/2007/PartnerControls"/>
    <ds:schemaRef ds:uri="26b68ce9-53aa-46f6-a3a3-ca39d8e60535"/>
    <ds:schemaRef ds:uri="2beaef9f-cf1f-479f-a374-c737fe2c05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BIBIscores</vt:lpstr>
      <vt:lpstr>Sheet3</vt:lpstr>
      <vt:lpstr>Sheet4</vt:lpstr>
    </vt:vector>
  </TitlesOfParts>
  <Company>King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Macneale, Kate</dc:creator>
  <cp:lastModifiedBy>Macneale, Kate</cp:lastModifiedBy>
  <dcterms:created xsi:type="dcterms:W3CDTF">2026-02-03T19:13:28Z</dcterms:created>
  <dcterms:modified xsi:type="dcterms:W3CDTF">2026-03-10T16:24:48Z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0x010100DDC44FC1D64D05459BEA9379DD395762</vt:lpwstr>
  </property>
</Properties>
</file>